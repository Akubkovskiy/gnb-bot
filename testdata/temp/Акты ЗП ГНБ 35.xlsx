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Лист1" state="visible" r:id="rId4"/>
    <sheet sheetId="2" name="Разбивка" state="visible" r:id="rId5"/>
    <sheet sheetId="3" name="Герметизация" state="visible" r:id="rId6"/>
    <sheet sheetId="4" name="АОСР " state="visible" r:id="rId7"/>
    <sheet sheetId="5" name="Надзор" state="visible" r:id="rId8"/>
    <sheet sheetId="6" name="Приемка" state="visible" r:id="rId9"/>
    <sheet sheetId="7" name="ПП" state="visible" r:id="rId10"/>
    <sheet sheetId="8" name="Акт освид" state="visible" r:id="rId11"/>
    <sheet sheetId="9" name="Соосность" state="visible" r:id="rId12"/>
    <sheet sheetId="10" name="Сварка трубы" state="visible" r:id="rId13"/>
    <sheet sheetId="11" name="Опись" state="visible" r:id="rId14"/>
  </sheets>
  <calcPr calcId="171027"/>
</workbook>
</file>

<file path=xl/sharedStrings.xml><?xml version="1.0" encoding="utf-8"?>
<sst xmlns="http://schemas.openxmlformats.org/spreadsheetml/2006/main" count="276" uniqueCount="168">
  <si>
    <t>ШАБЛОН АКТОВ ГНБ — Лист1 (заполняется ботом)</t>
  </si>
  <si>
    <t>ИДЕНТИФИКАЦИЯ</t>
  </si>
  <si>
    <t>Наименование объекта (КЛ ГНБ)</t>
  </si>
  <si>
    <t>«ПКЛ 20 кВ от РП 1-45 до ПС 220 кВ Золотаревская (786); ПКЛ 20 кВ от РП 1-45 до ПС 220 кВ Красносельская (868); РП 1-45»</t>
  </si>
  <si>
    <t>Название стройки / объект</t>
  </si>
  <si>
    <t>Закрытый переход методом ГНБ №35.1</t>
  </si>
  <si>
    <t>Адрес</t>
  </si>
  <si>
    <t>г. Москва, Пресненский Вал, д. 5</t>
  </si>
  <si>
    <t>Номер ГНБ перехода</t>
  </si>
  <si>
    <t>ЗП № 35</t>
  </si>
  <si>
    <t>Номер/шифр проекта</t>
  </si>
  <si>
    <t>№ 1146-КС-21-ЭС2</t>
  </si>
  <si>
    <t>Дата начала работ</t>
  </si>
  <si>
    <t>«12» февраля 2026 г.</t>
  </si>
  <si>
    <t>Дата окончания работ</t>
  </si>
  <si>
    <t>«26» февраля 2026 г.</t>
  </si>
  <si>
    <t>Исполнитель (организация)</t>
  </si>
  <si>
    <t>ООО «СПЕЦИНЖСТРОЙ»</t>
  </si>
  <si>
    <t>Дата завершения работ</t>
  </si>
  <si>
    <t>ОРГАНИЗАЦИИ</t>
  </si>
  <si>
    <t>Заказчик</t>
  </si>
  <si>
    <t xml:space="preserve"> </t>
  </si>
  <si>
    <t>Подрядчик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</si>
  <si>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строительных организаций «ЭкспертСтрой»», ОГРН 1127799010668, ИНН 7708240612</t>
  </si>
  <si>
    <t>Проектировщик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</si>
  <si>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проектных организаций «ЭкспертПроект»», ОГРН 1127799020480, ИНН 7707491081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</si>
  <si>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</si>
  <si>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</si>
  <si>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</si>
  <si>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</si>
  <si>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</si>
  <si>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>АО "ОЭК"</t>
  </si>
  <si>
    <t>инженер ЦРЭС  Селиванов В.Ю.</t>
  </si>
  <si>
    <t>Подписант 2 (подрядчик)</t>
  </si>
  <si>
    <t>Начальник участка приказ №180/2 от 03.07.2024г.  Щеглов Р.А.</t>
  </si>
  <si>
    <t>Подписант 3 (опцион.)</t>
  </si>
  <si>
    <t>Главный инженер НРС № С 77 19151 от 31.05.2019 приказ №180/2 от 03.07.2024г.  Долодонов В.И.</t>
  </si>
  <si>
    <t>Тех.надзор (= подп. 1?)</t>
  </si>
  <si>
    <t>—  Гайдуков</t>
  </si>
  <si>
    <t>Подписант 3: если пусто — не печатается на листах</t>
  </si>
  <si>
    <t>ТРУБА</t>
  </si>
  <si>
    <t>Марка трубы (полная, с паспортом)</t>
  </si>
  <si>
    <t>Труба ЭЛЕКТРОПАЙП 225/170 - N 1250 F2 SDR 13,6 (паспорт качества №12393 от 06.10.2025г, сертификат соответствия №РОСС RU.НВ24.АПТС Н00180/24 с 04.07.2024)</t>
  </si>
  <si>
    <t>Диаметр трубы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</si>
  <si>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</si>
  <si>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</si>
  <si>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</si>
  <si>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</si>
  <si>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</si>
  <si>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</si>
  <si>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</si>
  <si>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</si>
  <si>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</si>
  <si>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</si>
  <si>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</si>
  <si>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</si>
  <si>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</si>
  <si>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</si>
  <si>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</si>
  <si>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</si>
  <si>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</si>
  <si>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</si>
  <si>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</si>
  <si>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</si>
  <si>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</si>
  <si>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</si>
  <si>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</si>
  <si>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</si>
  <si>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</si>
  <si>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</si>
  <si>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</si>
  <si>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</si>
  <si>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</si>
  <si>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</si>
  <si>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</si>
  <si>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</si>
  <si>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</si>
  <si>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</si>
  <si>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</si>
  <si>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</si>
  <si>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</si>
  <si>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</si>
  <si>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</si>
  <si>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</si>
  <si>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</si>
  <si>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</si>
  <si>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</si>
  <si>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</si>
  <si>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</si>
  <si>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</si>
  <si>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</si>
  <si>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</si>
  <si>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</si>
  <si>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</si>
  <si>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</si>
  <si>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</si>
  <si>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</si>
  <si>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</si>
  <si>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</si>
  <si>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</si>
  <si>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</si>
  <si>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</si>
  <si>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</si>
  <si>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</si>
  <si>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</si>
  <si>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</si>
  <si>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</si>
  <si>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</si>
  <si>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</si>
  <si>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</si>
  <si>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</si>
  <si>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</si>
  <si>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</si>
  <si>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</si>
  <si>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</si>
  <si>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</si>
  <si>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</si>
  <si>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</si>
  <si>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</si>
  <si>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</si>
  <si>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</si>
  <si>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</si>
  <si>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</si>
  <si>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</si>
  <si>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</si>
  <si>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</si>
  <si>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</si>
  <si>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</si>
  <si>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</si>
  <si>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</si>
  <si>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</si>
  <si>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</si>
  <si>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</si>
  <si>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</si>
  <si>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</si>
  <si>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</si>
  <si>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</si>
  <si>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 xml:space="preserve"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</si>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</sst>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yy"/>
  </numFmts>
  <fonts count="24" x14ac:knownFonts="1">
    <font>
      <color theme="1"/>
      <family val="2"/>
      <scheme val="minor"/>
      <sz val="11"/>
      <name val="Calibri"/>
    </font>
    <font>
      <b/>
      <charset val="1"/>
      <sz val="12"/>
      <name val="Arial"/>
    </font>
    <font>
      <b/>
      <charset val="1"/>
      <sz val="11"/>
      <name val="Arial"/>
    </font>
    <font>
      <charset val="1"/>
      <color theme="1"/>
      <family val="2"/>
      <sz val="11"/>
      <name val="Calibri"/>
    </font>
    <font>
      <charset val="1"/>
      <color rgb="FF666666"/>
      <sz val="10"/>
      <name val="Arial"/>
    </font>
    <font>
      <charset val="1"/>
      <sz val="11"/>
      <name val="Times New Roman"/>
    </font>
    <font>
      <b/>
      <charset val="1"/>
      <sz val="10"/>
      <name val="Arial"/>
    </font>
    <font>
      <i/>
      <charset val="1"/>
      <color rgb="FF999999"/>
      <sz val="9"/>
      <name val="Arial"/>
    </font>
    <font>
      <charset val="1"/>
      <sz val="10"/>
      <name val="Arial"/>
    </font>
    <font>
      <b/>
      <charset val="204"/>
      <family val="1"/>
      <sz val="10"/>
      <name val="Times New Roman"/>
    </font>
    <font>
      <i/>
      <charset val="204"/>
      <family val="1"/>
      <sz val="10"/>
      <name val="Times New Roman"/>
    </font>
    <font>
      <i/>
      <u/>
      <charset val="204"/>
      <family val="1"/>
      <sz val="10"/>
      <name val="Times New Roman"/>
    </font>
    <font>
      <charset val="204"/>
      <family val="1"/>
      <sz val="10"/>
      <name val="Times New Roman"/>
    </font>
    <font>
      <u/>
      <charset val="204"/>
      <family val="1"/>
      <sz val="10"/>
      <name val="Times New Roman"/>
    </font>
    <font>
      <b/>
      <i/>
      <charset val="204"/>
      <family val="1"/>
      <sz val="10"/>
      <name val="Times New Roman"/>
    </font>
    <font>
      <b/>
      <charset val="204"/>
      <family val="1"/>
      <sz val="11"/>
      <name val="Times New Roman"/>
    </font>
    <font>
      <i/>
      <u/>
      <charset val="204"/>
      <family val="1"/>
      <sz val="11"/>
      <name val="Times New Roman"/>
    </font>
    <font>
      <charset val="204"/>
      <family val="1"/>
      <sz val="11"/>
      <name val="Times New Roman"/>
    </font>
    <font>
      <u/>
      <charset val="204"/>
      <family val="1"/>
      <sz val="11"/>
      <name val="Times New Roman"/>
    </font>
    <font>
      <b/>
      <charset val="204"/>
      <family val="1"/>
      <sz val="12"/>
      <name val="Times New Roman"/>
    </font>
    <font>
      <charset val="204"/>
      <family val="1"/>
      <vertAlign val="superscript"/>
      <sz val="10"/>
      <name val="Times New Roman"/>
    </font>
    <font>
      <charset val="204"/>
      <family val="1"/>
      <sz val="8"/>
      <name val="Times New Roman"/>
    </font>
    <font>
      <charset val="204"/>
      <family val="1"/>
      <sz val="7"/>
      <name val="Times New Roman"/>
    </font>
    <font>
      <charset val="204"/>
      <color rgb="FF000000"/>
      <family val="1"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3" fillId="2" borderId="0" xfId="0" applyFont="1" applyFill="1" applyAlignment="1">
      <alignment vertical="bottom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bottom"/>
    </xf>
    <xf numFmtId="0" fontId="5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bottom"/>
    </xf>
    <xf numFmtId="164" fontId="12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bottom"/>
    </xf>
    <xf numFmtId="0" fontId="12" fillId="0" borderId="0" xfId="0" applyFont="1" applyAlignment="1">
      <alignment horizontal="right" vertical="bottom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0" fontId="13" fillId="0" borderId="0" xfId="0" applyFont="1" applyAlignment="1">
      <alignment vertical="bottom"/>
    </xf>
    <xf numFmtId="0" fontId="12" fillId="0" borderId="0" xfId="0" applyFont="1" applyAlignment="1">
      <alignment vertical="bottom"/>
    </xf>
    <xf numFmtId="0" fontId="12" fillId="0" borderId="0" xfId="0" applyFont="1" applyAlignment="1">
      <alignment horizontal="center" vertical="bottom"/>
    </xf>
    <xf numFmtId="0" fontId="12" fillId="0" borderId="2" xfId="0" applyFont="1" applyBorder="1" applyAlignment="1">
      <alignment vertical="bottom"/>
    </xf>
    <xf numFmtId="0" fontId="14" fillId="0" borderId="0" xfId="0" applyFont="1" applyAlignment="1">
      <alignment vertical="bottom"/>
    </xf>
    <xf numFmtId="0" fontId="14" fillId="0" borderId="3" xfId="0" applyFont="1" applyBorder="1" applyAlignment="1">
      <alignment horizontal="center" vertical="bottom"/>
    </xf>
    <xf numFmtId="0" fontId="14" fillId="0" borderId="3" xfId="0" applyFont="1" applyBorder="1" applyAlignment="1">
      <alignment horizontal="left" vertical="bottom"/>
    </xf>
    <xf numFmtId="0" fontId="14" fillId="0" borderId="3" xfId="0" applyFont="1" applyBorder="1" applyAlignment="1">
      <alignment vertical="bottom"/>
    </xf>
    <xf numFmtId="0" fontId="12" fillId="0" borderId="3" xfId="0" applyFont="1" applyBorder="1" applyAlignment="1">
      <alignment vertical="bottom"/>
    </xf>
    <xf numFmtId="0" fontId="9" fillId="0" borderId="0" xfId="0" applyFont="1" applyAlignment="1">
      <alignment horizontal="left" vertical="bottom"/>
    </xf>
    <xf numFmtId="49" fontId="12" fillId="0" borderId="0" xfId="0" applyNumberFormat="1" applyFont="1" applyAlignment="1">
      <alignment horizontal="left" vertical="bottom"/>
    </xf>
    <xf numFmtId="0" fontId="10" fillId="0" borderId="0" xfId="0" applyFont="1" applyAlignment="1">
      <alignment horizontal="center" vertical="bottom"/>
    </xf>
    <xf numFmtId="0" fontId="14" fillId="0" borderId="0" xfId="0" applyFont="1" applyAlignment="1">
      <alignment horizontal="center" vertical="bottom"/>
    </xf>
    <xf numFmtId="0" fontId="14" fillId="0" borderId="3" xfId="0" applyFont="1" applyBorder="1" applyAlignment="1">
      <alignment horizontal="right" vertical="bottom"/>
    </xf>
    <xf numFmtId="0" fontId="14" fillId="0" borderId="3" xfId="0" applyFont="1" applyBorder="1" applyAlignment="1">
      <alignment horizontal="right" vertical="bottom" indent="1"/>
    </xf>
    <xf numFmtId="0" fontId="10" fillId="0" borderId="3" xfId="0" applyFont="1" applyBorder="1" applyAlignment="1">
      <alignment horizontal="center" vertical="bottom"/>
    </xf>
    <xf numFmtId="0" fontId="10" fillId="0" borderId="3" xfId="0" applyFont="1" applyBorder="1" applyAlignment="1">
      <alignment horizontal="left" vertical="bottom" wrapText="1"/>
    </xf>
    <xf numFmtId="0" fontId="15" fillId="0" borderId="0" xfId="0" applyFont="1" applyAlignment="1">
      <alignment horizontal="right" vertical="bottom"/>
    </xf>
    <xf numFmtId="0" fontId="16" fillId="0" borderId="0" xfId="0" applyFont="1" applyAlignment="1">
      <alignment vertical="bottom"/>
    </xf>
    <xf numFmtId="0" fontId="15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bottom"/>
    </xf>
    <xf numFmtId="0" fontId="17" fillId="0" borderId="0" xfId="0" applyFont="1" applyAlignment="1">
      <alignment horizontal="right" vertical="bottom"/>
    </xf>
    <xf numFmtId="0" fontId="15" fillId="0" borderId="0" xfId="0" applyFont="1" applyAlignment="1">
      <alignment vertical="bottom"/>
    </xf>
    <xf numFmtId="0" fontId="14" fillId="0" borderId="4" xfId="0" applyFont="1" applyBorder="1" applyAlignment="1">
      <alignment vertical="bottom"/>
    </xf>
    <xf numFmtId="0" fontId="14" fillId="0" borderId="3" xfId="0" applyFont="1" applyBorder="1" applyAlignment="1">
      <alignment horizontal="left" vertical="bottom" wrapText="1"/>
    </xf>
    <xf numFmtId="0" fontId="12" fillId="0" borderId="0" xfId="0" applyFont="1" applyAlignment="1">
      <alignment vertical="center"/>
    </xf>
    <xf numFmtId="0" fontId="9" fillId="0" borderId="3" xfId="0" applyFont="1" applyBorder="1" applyAlignment="1">
      <alignment horizontal="left" vertical="bottom"/>
    </xf>
    <xf numFmtId="0" fontId="14" fillId="0" borderId="0" xfId="0" applyFont="1" applyAlignment="1">
      <alignment horizontal="left" vertical="bottom"/>
    </xf>
    <xf numFmtId="0" fontId="13" fillId="0" borderId="3" xfId="0" applyFont="1" applyBorder="1" applyAlignment="1">
      <alignment horizontal="left" vertical="bottom"/>
    </xf>
    <xf numFmtId="0" fontId="12" fillId="0" borderId="3" xfId="0" applyFont="1" applyBorder="1" applyAlignment="1">
      <alignment horizontal="left" vertical="bottom"/>
    </xf>
    <xf numFmtId="0" fontId="10" fillId="0" borderId="0" xfId="0" applyFont="1" applyAlignment="1">
      <alignment horizontal="left" vertical="top" wrapText="1"/>
    </xf>
    <xf numFmtId="0" fontId="14" fillId="0" borderId="3" xfId="0" applyFont="1" applyBorder="1" applyAlignment="1">
      <alignment horizontal="center" vertical="bottom" wrapText="1"/>
    </xf>
    <xf numFmtId="0" fontId="19" fillId="0" borderId="0" xfId="0" applyFont="1" applyAlignment="1">
      <alignment horizontal="center" vertical="bottom"/>
    </xf>
    <xf numFmtId="0" fontId="17" fillId="0" borderId="3" xfId="0" applyFont="1" applyBorder="1" applyAlignment="1">
      <alignment horizontal="right" vertical="bottom"/>
    </xf>
    <xf numFmtId="0" fontId="17" fillId="0" borderId="3" xfId="0" applyFont="1" applyBorder="1" applyAlignment="1">
      <alignment vertical="bottom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20" fillId="0" borderId="0" xfId="0" applyFont="1" applyAlignment="1">
      <alignment horizontal="center" vertical="bottom"/>
    </xf>
    <xf numFmtId="0" fontId="18" fillId="0" borderId="0" xfId="0" applyFont="1" applyAlignment="1">
      <alignment horizontal="center" vertical="bottom" wrapText="1"/>
    </xf>
    <xf numFmtId="0" fontId="20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 vertical="bottom"/>
    </xf>
    <xf numFmtId="0" fontId="8" fillId="0" borderId="3" xfId="0" applyFont="1" applyBorder="1" applyAlignment="1">
      <alignment vertical="bottom"/>
    </xf>
    <xf numFmtId="0" fontId="17" fillId="0" borderId="5" xfId="0" applyFont="1" applyBorder="1" applyAlignment="1">
      <alignment horizontal="left" vertical="bottom"/>
    </xf>
    <xf numFmtId="0" fontId="17" fillId="0" borderId="2" xfId="0" applyFont="1" applyBorder="1" applyAlignment="1">
      <alignment horizontal="left" vertical="bottom"/>
    </xf>
    <xf numFmtId="0" fontId="8" fillId="0" borderId="0" xfId="0" applyFont="1" applyAlignment="1">
      <alignment horizontal="left" vertical="bottom"/>
    </xf>
    <xf numFmtId="0" fontId="21" fillId="0" borderId="2" xfId="0" applyFont="1" applyBorder="1" applyAlignment="1">
      <alignment horizontal="left" vertical="bottom"/>
    </xf>
    <xf numFmtId="0" fontId="17" fillId="0" borderId="3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22" fillId="0" borderId="0" xfId="0" applyFont="1" applyAlignment="1">
      <alignment vertical="bottom"/>
    </xf>
    <xf numFmtId="0" fontId="20" fillId="0" borderId="6" xfId="0" applyFont="1" applyBorder="1" applyAlignment="1">
      <alignment horizontal="center" vertical="bottom"/>
    </xf>
    <xf numFmtId="0" fontId="15" fillId="0" borderId="0" xfId="0" applyFont="1" applyAlignment="1">
      <alignment horizontal="center" vertical="bottom"/>
    </xf>
    <xf numFmtId="49" fontId="12" fillId="0" borderId="0" xfId="0" applyNumberFormat="1" applyFont="1" applyAlignment="1">
      <alignment vertical="bottom"/>
    </xf>
    <xf numFmtId="1" fontId="14" fillId="0" borderId="3" xfId="0" applyNumberFormat="1" applyFont="1" applyBorder="1" applyAlignment="1">
      <alignment horizontal="center" vertical="bottom"/>
    </xf>
    <xf numFmtId="0" fontId="13" fillId="0" borderId="0" xfId="0" applyFont="1" applyAlignment="1">
      <alignment vertical="top" wrapText="1"/>
    </xf>
    <xf numFmtId="164" fontId="23" fillId="0" borderId="0" xfId="0" applyNumberFormat="1" applyFont="1" applyAlignment="1">
      <alignment horizontal="center" vertical="bottom"/>
    </xf>
    <xf numFmtId="0" fontId="13" fillId="0" borderId="0" xfId="0" applyFont="1" applyAlignment="1">
      <alignment vertical="bottom" wrapText="1"/>
    </xf>
    <xf numFmtId="0" fontId="9" fillId="0" borderId="1" xfId="0" applyFont="1" applyBorder="1" applyAlignment="1">
      <alignment horizontal="center" vertical="bottom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bottom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bottom" wrapText="1"/>
    </xf>
    <xf numFmtId="0" fontId="12" fillId="0" borderId="9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bottom"/>
    </xf>
    <xf numFmtId="0" fontId="12" fillId="0" borderId="1" xfId="0" applyFont="1" applyBorder="1" applyAlignment="1">
      <alignment horizontal="center" vertical="bottom"/>
    </xf>
    <xf numFmtId="0" fontId="12" fillId="0" borderId="8" xfId="0" applyFont="1" applyBorder="1" applyAlignment="1">
      <alignment vertical="bottom" wrapText="1"/>
    </xf>
    <xf numFmtId="1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0" customWidth="1"/>
    <col min="2" max="3" width="52" customWidth="1"/>
    <col min="4" max="8" width="14" customWidth="1"/>
  </cols>
  <sheetData>
    <row r="1" ht="15" customHeight="1" spans="1:1" x14ac:dyDescent="0.25">
      <c r="A1" s="1" t="s">
        <v>0</v>
      </c>
    </row>
    <row r="2" ht="15" customHeight="1" spans="1:3" x14ac:dyDescent="0.25">
      <c r="A2" s="2" t="s">
        <v>1</v>
      </c>
      <c r="B2" s="3"/>
      <c r="C2" s="3"/>
    </row>
    <row r="3" ht="15" customHeight="1" spans="1:2" x14ac:dyDescent="0.25">
      <c r="A3" s="4" t="s">
        <v>2</v>
      </c>
      <c r="B3" s="5" t="s">
        <v>3</v>
      </c>
    </row>
    <row r="4" ht="61.15" customHeight="1" spans="1:2" x14ac:dyDescent="0.25">
      <c r="A4" s="4" t="s">
        <v>4</v>
      </c>
      <c r="B4" s="5" t="s">
        <v>5</v>
      </c>
    </row>
    <row r="5" ht="15" customHeight="1" spans="1:2" x14ac:dyDescent="0.25">
      <c r="A5" s="4" t="s">
        <v>6</v>
      </c>
      <c r="B5" s="5" t="s">
        <v>7</v>
      </c>
    </row>
    <row r="6" ht="15" customHeight="1" spans="1:2" x14ac:dyDescent="0.25">
      <c r="A6" s="4" t="s">
        <v>8</v>
      </c>
      <c r="B6" s="5" t="s">
        <v>9</v>
      </c>
    </row>
    <row r="7" ht="15" customHeight="1" spans="1:2" x14ac:dyDescent="0.25">
      <c r="A7" s="4" t="s">
        <v>10</v>
      </c>
      <c r="B7" s="5" t="s">
        <v>11</v>
      </c>
    </row>
    <row r="8" ht="15" customHeight="1" spans="1:2" x14ac:dyDescent="0.25">
      <c r="A8" s="4" t="s">
        <v>12</v>
      </c>
      <c r="B8" s="5" t="s">
        <v>13</v>
      </c>
    </row>
    <row r="9" ht="15" customHeight="1" spans="1:2" x14ac:dyDescent="0.25">
      <c r="A9" s="4" t="s">
        <v>14</v>
      </c>
      <c r="B9" s="5" t="s">
        <v>15</v>
      </c>
    </row>
    <row r="10" ht="15" customHeight="1" spans="1:2" x14ac:dyDescent="0.25">
      <c r="A10" s="4" t="s">
        <v>16</v>
      </c>
      <c r="B10" s="5" t="s">
        <v>17</v>
      </c>
    </row>
    <row r="11" ht="15" customHeight="1" spans="1:2" x14ac:dyDescent="0.25">
      <c r="A11" s="4" t="s">
        <v>18</v>
      </c>
      <c r="B11" s="5" t="s">
        <v>15</v>
      </c>
    </row>
    <row r="13" ht="15" customHeight="1" spans="1:3" x14ac:dyDescent="0.25">
      <c r="A13" s="2" t="s">
        <v>19</v>
      </c>
      <c r="B13" s="3"/>
      <c r="C13" s="3"/>
    </row>
    <row r="14" ht="15" customHeight="1" spans="1:2" x14ac:dyDescent="0.25">
      <c r="A14" s="4" t="s">
        <v>20</v>
      </c>
      <c r="B14" s="5" t="s">
        <v>21</v>
      </c>
    </row>
    <row r="15" ht="15" customHeight="1" spans="1:2" x14ac:dyDescent="0.25">
      <c r="A15" s="4" t="s">
        <v>22</v>
      </c>
      <c r="B15" s="5" t="s">
        <v>23</v>
      </c>
    </row>
    <row r="16" ht="15" customHeight="1" spans="1:2" x14ac:dyDescent="0.25">
      <c r="A16" s="4" t="s">
        <v>24</v>
      </c>
      <c r="B16" s="5" t="s">
        <v>25</v>
      </c>
    </row>
    <row r="18" ht="15" customHeight="1" spans="1:3" x14ac:dyDescent="0.25">
      <c r="A18" s="2" t="s">
        <v>26</v>
      </c>
      <c r="B18" s="3"/>
      <c r="C18" s="3"/>
    </row>
    <row r="19" ht="15" customHeight="1" spans="1:3" x14ac:dyDescent="0.25">
      <c r="A19" s="6" t="s">
        <v>27</v>
      </c>
      <c r="B19" s="6" t="s">
        <v>28</v>
      </c>
      <c r="C19" s="6" t="s">
        <v>29</v>
      </c>
    </row>
    <row r="20" ht="25.35" customHeight="1" spans="1:3" x14ac:dyDescent="0.25">
      <c r="A20" s="7" t="s">
        <v>30</v>
      </c>
      <c r="B20" s="5" t="s">
        <v>31</v>
      </c>
      <c r="C20" s="5" t="s">
        <v>32</v>
      </c>
    </row>
    <row r="21" ht="25.35" customHeight="1" spans="1:3" x14ac:dyDescent="0.25">
      <c r="A21" s="7" t="s">
        <v>33</v>
      </c>
      <c r="B21" s="5" t="s">
        <v>17</v>
      </c>
      <c r="C21" s="5" t="s">
        <v>34</v>
      </c>
    </row>
    <row r="22" ht="25.35" customHeight="1" spans="1:3" x14ac:dyDescent="0.25">
      <c r="A22" s="7" t="s">
        <v>35</v>
      </c>
      <c r="B22" s="8" t="s">
        <v>17</v>
      </c>
      <c r="C22" s="8" t="s">
        <v>36</v>
      </c>
    </row>
    <row r="23" ht="15" customHeight="1" spans="1:3" x14ac:dyDescent="0.25">
      <c r="A23" s="7" t="s">
        <v>37</v>
      </c>
      <c r="B23" s="5" t="s">
        <v>21</v>
      </c>
      <c r="C23" s="8" t="s">
        <v>38</v>
      </c>
    </row>
    <row r="24" ht="15" customHeight="1" spans="1:1" x14ac:dyDescent="0.25">
      <c r="A24" s="9" t="s">
        <v>39</v>
      </c>
    </row>
    <row r="25" ht="15" customHeight="1" spans="1:3" x14ac:dyDescent="0.25">
      <c r="A25" s="2" t="s">
        <v>40</v>
      </c>
      <c r="B25" s="3"/>
      <c r="C25" s="3"/>
    </row>
    <row r="26" ht="25.35" customHeight="1" spans="1:2" x14ac:dyDescent="0.25">
      <c r="A26" s="4" t="s">
        <v>41</v>
      </c>
      <c r="B26" s="5" t="s">
        <v>42</v>
      </c>
    </row>
    <row r="27" ht="15" customHeight="1" spans="1:2" x14ac:dyDescent="0.25">
      <c r="A27" s="4" t="s">
        <v>43</v>
      </c>
      <c r="B27" s="5" t="s">
        <v>21</v>
      </c>
    </row>
    <row r="29" ht="15" customHeight="1" spans="1:3" x14ac:dyDescent="0.25">
      <c r="A29" s="2" t="s">
        <v>44</v>
      </c>
      <c r="B29" s="3"/>
      <c r="C29" s="3"/>
    </row>
    <row r="30" ht="15" customHeight="1" spans="1:8" x14ac:dyDescent="0.25">
      <c r="A30" s="6" t="s">
        <v>45</v>
      </c>
      <c r="B30" s="6" t="s">
        <v>46</v>
      </c>
      <c r="C30" s="6" t="s">
        <v>47</v>
      </c>
      <c r="D30" s="6" t="s">
        <v>48</v>
      </c>
      <c r="E30" s="6" t="s">
        <v>49</v>
      </c>
      <c r="F30" s="6" t="s">
        <v>50</v>
      </c>
      <c r="G30" s="6" t="s">
        <v>51</v>
      </c>
      <c r="H30" s="6" t="s">
        <v>52</v>
      </c>
    </row>
    <row r="31" ht="15" customHeight="1" spans="1:8" x14ac:dyDescent="0.25">
      <c r="A31" s="10" t="s">
        <v>9</v>
      </c>
      <c r="B31" s="11">
        <v>120</v>
      </c>
      <c r="C31" s="11">
        <v>125</v>
      </c>
      <c r="D31" s="11">
        <v>2</v>
      </c>
      <c r="E31" s="10">
        <f>C31*D31</f>
        <v>85.92</v>
      </c>
      <c r="F31" s="11">
        <v>650</v>
      </c>
      <c r="G31" s="10" t="s">
        <v>21</v>
      </c>
      <c r="H31" s="10">
        <f>E31/13</f>
        <v>6.60923076923077</v>
      </c>
    </row>
    <row r="32" ht="15" customHeight="1" spans="1:1" x14ac:dyDescent="0.25">
      <c r="A32" s="9" t="s">
        <v>53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85" customWidth="1"/>
    <col min="6" max="6" width="8.56" customWidth="1"/>
    <col min="7" max="7" width="9.28" customWidth="1"/>
    <col min="9" max="9" width="7.56" customWidth="1"/>
    <col min="10" max="10" width="10.28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55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50.25" customHeight="1" spans="2:11" x14ac:dyDescent="0.25">
      <c r="B3" s="15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59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 spans="1:26" x14ac:dyDescent="0.25">
      <c r="A11" s="26" t="s">
        <v>61</v>
      </c>
      <c r="B11" s="26"/>
      <c r="C11" s="26"/>
      <c r="D11" s="26"/>
      <c r="E11" s="26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0" t="s">
        <v>62</v>
      </c>
      <c r="B13" s="20"/>
      <c r="C13" s="20"/>
      <c r="D13" s="20"/>
      <c r="E13" s="20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5" t="s">
        <v>63</v>
      </c>
      <c r="B14" s="26"/>
      <c r="C14" s="25"/>
      <c r="D14" s="26"/>
      <c r="E14" s="28"/>
      <c r="F14" s="28"/>
      <c r="G14" s="28"/>
      <c r="H14" s="28"/>
      <c r="I14" s="28"/>
      <c r="J14" s="29" t="str">
        <f>Лист1!B6</f>
        <v>ГНБ № 10-1С</v>
      </c>
      <c r="K14" s="29"/>
      <c r="L14" s="29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5" t="s">
        <v>64</v>
      </c>
      <c r="D15" s="30" t="str">
        <f>Лист1!B5</f>
        <v>По адресу: г. Москва, ул. Кантемировская, д.60</v>
      </c>
      <c r="E15" s="31"/>
      <c r="F15" s="31"/>
      <c r="G15" s="32"/>
      <c r="H15" s="32"/>
      <c r="I15" s="32"/>
      <c r="J15" s="3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/>
      <c r="B16" s="23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33" t="s">
        <v>65</v>
      </c>
      <c r="B17" s="26"/>
      <c r="C17" s="25"/>
      <c r="D17" s="26"/>
      <c r="E17" s="26"/>
      <c r="F17" s="26"/>
      <c r="G17" s="26"/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34" t="s">
        <v>66</v>
      </c>
      <c r="B18" s="26"/>
      <c r="C18" s="25"/>
      <c r="D18" s="26"/>
      <c r="E18" s="26"/>
      <c r="F18" s="26"/>
      <c r="G18" s="26"/>
      <c r="H18" s="26"/>
      <c r="I18" s="2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4" t="s">
        <v>67</v>
      </c>
      <c r="B19" s="26"/>
      <c r="C19" s="25"/>
      <c r="D19" s="26"/>
      <c r="E19" s="26"/>
      <c r="F19" s="26"/>
      <c r="G19" s="26"/>
      <c r="H19" s="26"/>
      <c r="I19" s="2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/>
      <c r="B20" s="26"/>
      <c r="C20" s="25"/>
      <c r="D20" s="26"/>
      <c r="E20" s="26"/>
      <c r="F20" s="26"/>
      <c r="G20" s="26"/>
      <c r="H20" s="26"/>
      <c r="I20" s="26"/>
      <c r="J20" s="26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34" t="s">
        <v>68</v>
      </c>
      <c r="B21" s="26"/>
      <c r="C21" s="25"/>
      <c r="D21" s="26"/>
      <c r="E21" s="26"/>
      <c r="F21" s="29" t="str">
        <f>Лист1!B6</f>
        <v>ГНБ № 10-1С</v>
      </c>
      <c r="G21" s="29"/>
      <c r="H21" s="29"/>
      <c r="I21" s="20" t="s">
        <v>69</v>
      </c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34" t="s">
        <v>70</v>
      </c>
      <c r="B22" s="26"/>
      <c r="C22" s="25"/>
      <c r="D22" s="26"/>
      <c r="E22" s="26"/>
      <c r="F22" s="26"/>
      <c r="G22" s="26"/>
      <c r="H22" s="26"/>
      <c r="I22" s="26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4"/>
      <c r="B23" s="26"/>
      <c r="C23" s="25"/>
      <c r="D23" s="26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x14ac:dyDescent="0.25"/>
    <row r="25" ht="15.75" customHeight="1" x14ac:dyDescent="0.25"/>
    <row r="26" ht="15.75" customHeight="1" spans="1:9" x14ac:dyDescent="0.25">
      <c r="A26" s="20"/>
      <c r="C26" s="20"/>
      <c r="D26" s="20"/>
      <c r="E26" s="20"/>
      <c r="F26" s="20"/>
      <c r="G26" s="20"/>
      <c r="H26" s="20"/>
      <c r="I26" s="20"/>
    </row>
    <row r="27" ht="15.75" customHeight="1" spans="1:9" x14ac:dyDescent="0.25">
      <c r="A27" s="20"/>
      <c r="C27" s="20"/>
      <c r="D27" s="20"/>
      <c r="E27" s="20"/>
      <c r="F27" s="20"/>
      <c r="G27" s="20"/>
      <c r="H27" s="20"/>
      <c r="I27" s="20"/>
    </row>
    <row r="28" ht="15.75" customHeight="1" spans="1:9" x14ac:dyDescent="0.25">
      <c r="A28" s="20" t="str">
        <f>Лист1!C21</f>
        <v>Начальник участка ООО «Резонанс-Энерго» ______________________Борков Е.А</v>
      </c>
      <c r="C28" s="20"/>
      <c r="D28" s="20"/>
      <c r="E28" s="20"/>
      <c r="F28" s="20"/>
      <c r="G28" s="20"/>
      <c r="H28" s="20"/>
      <c r="I28" s="20"/>
    </row>
    <row r="29" ht="15.75" customHeight="1" spans="1:9" x14ac:dyDescent="0.25">
      <c r="A29" s="20"/>
      <c r="C29" s="20"/>
      <c r="D29" s="20"/>
      <c r="E29" s="20"/>
      <c r="F29" s="20"/>
      <c r="G29" s="20"/>
      <c r="H29" s="20"/>
      <c r="I29" s="20"/>
    </row>
    <row r="30" ht="15.75" customHeight="1" spans="1:9" x14ac:dyDescent="0.25">
      <c r="A30" s="20"/>
      <c r="C30" s="20"/>
      <c r="D30" s="20"/>
      <c r="E30" s="20"/>
      <c r="F30" s="20"/>
      <c r="G30" s="20"/>
      <c r="H30" s="20"/>
      <c r="I30" s="20"/>
    </row>
    <row r="31" ht="15.75" customHeight="1" spans="1:9" x14ac:dyDescent="0.25">
      <c r="A31" s="20" t="str">
        <f>Лист1!C22</f>
        <v>Инженер-геодезист ООО «Резонанс-Энерго» ______________________Минаков Н.А.</v>
      </c>
      <c r="C31" s="20"/>
      <c r="D31" s="20"/>
      <c r="E31" s="20"/>
      <c r="F31" s="20"/>
      <c r="G31" s="20"/>
      <c r="H31" s="20"/>
      <c r="I31" s="20"/>
    </row>
    <row r="32" ht="15.75" customHeight="1" spans="1:9" x14ac:dyDescent="0.25">
      <c r="A32" s="20"/>
      <c r="C32" s="20"/>
      <c r="D32" s="20"/>
      <c r="E32" s="20"/>
      <c r="F32" s="20"/>
      <c r="G32" s="20"/>
      <c r="H32" s="20"/>
      <c r="I32" s="20"/>
    </row>
    <row r="33" ht="15.75" customHeight="1" spans="1:8" x14ac:dyDescent="0.25">
      <c r="A33" s="20" t="s">
        <v>71</v>
      </c>
      <c r="B33" s="20"/>
      <c r="C33" s="20"/>
      <c r="D33" s="20"/>
      <c r="E33" s="20"/>
      <c r="F33" s="20"/>
      <c r="G33" s="20"/>
      <c r="H33" s="20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</sheetData>
  <mergeCells count="11">
    <mergeCell ref="C3:K3"/>
    <mergeCell ref="G4:J4"/>
    <mergeCell ref="A5:B5"/>
    <mergeCell ref="G5:K5"/>
    <mergeCell ref="A6:K6"/>
    <mergeCell ref="A7:K7"/>
    <mergeCell ref="A11:E11"/>
    <mergeCell ref="A13:E13"/>
    <mergeCell ref="J14:L14"/>
    <mergeCell ref="F21:H21"/>
    <mergeCell ref="A33:H33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51.75" customHeight="1" spans="2:11" x14ac:dyDescent="0.25">
      <c r="B3" s="15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3.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3.5" customHeight="1" spans="1:26" x14ac:dyDescent="0.25">
      <c r="A7" s="23" t="s">
        <v>73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 spans="1:26" x14ac:dyDescent="0.25">
      <c r="A10" s="25"/>
      <c r="B10" s="27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 spans="1:26" x14ac:dyDescent="0.25">
      <c r="A14" s="22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 spans="1:26" x14ac:dyDescent="0.25">
      <c r="A15" s="28" t="s">
        <v>75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 spans="1:26" x14ac:dyDescent="0.25">
      <c r="A16" s="20" t="s">
        <v>76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 spans="1:26" x14ac:dyDescent="0.25">
      <c r="A17" s="20" t="s">
        <v>77</v>
      </c>
      <c r="B17" s="26"/>
      <c r="C17" s="25"/>
      <c r="D17" s="28"/>
      <c r="E17" s="28"/>
      <c r="F17" s="29" t="str">
        <f>Лист1!B6</f>
        <v>ГНБ № 10-1С</v>
      </c>
      <c r="G17" s="29"/>
      <c r="H17" s="29"/>
      <c r="I17" s="20" t="s">
        <v>78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 spans="1:26" x14ac:dyDescent="0.25">
      <c r="A18" s="20" t="s">
        <v>79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 spans="1:26" x14ac:dyDescent="0.25">
      <c r="A20" s="20" t="s">
        <v>80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81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 spans="1:26" x14ac:dyDescent="0.25">
      <c r="A22" s="20" t="s">
        <v>82</v>
      </c>
      <c r="B22" s="20"/>
      <c r="C22" s="25"/>
      <c r="D22" s="36"/>
      <c r="E22" s="30" t="str">
        <f>Лист1!B27</f>
        <v> d=110 мм.</v>
      </c>
      <c r="F22" s="30"/>
      <c r="G22" s="30"/>
      <c r="H22" s="30"/>
      <c r="I22" s="30"/>
      <c r="J22" s="30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 spans="1:26" x14ac:dyDescent="0.25">
      <c r="A23" s="33"/>
      <c r="B23" s="33"/>
      <c r="C23" s="25"/>
      <c r="D23" s="35"/>
      <c r="E23" s="13"/>
      <c r="F23" s="13"/>
      <c r="G23" s="35"/>
      <c r="H23" s="25"/>
      <c r="I23" s="25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 spans="1:26" x14ac:dyDescent="0.25">
      <c r="A24" s="20" t="s">
        <v>83</v>
      </c>
      <c r="B24" s="33"/>
      <c r="C24" s="25"/>
      <c r="D24" s="37" t="str">
        <f>Лист1!B8</f>
        <v>01.06.2024 г.</v>
      </c>
      <c r="E24" s="37"/>
      <c r="F24" s="37"/>
      <c r="G24" s="35"/>
      <c r="H24" s="13"/>
      <c r="I24" s="13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 spans="1:26" x14ac:dyDescent="0.25">
      <c r="A25" s="33"/>
      <c r="B25" s="33"/>
      <c r="C25" s="25"/>
      <c r="D25" s="13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 spans="1:26" x14ac:dyDescent="0.25">
      <c r="A26" s="20" t="s">
        <v>84</v>
      </c>
      <c r="B26" s="33"/>
      <c r="C26" s="25"/>
      <c r="D26" s="38" t="str">
        <f>Лист1!B9</f>
        <v>03.06.2024 г.</v>
      </c>
      <c r="E26" s="38"/>
      <c r="F26" s="38"/>
      <c r="G26" s="26"/>
      <c r="H26" s="26"/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 spans="1:26" x14ac:dyDescent="0.25">
      <c r="A27" s="33"/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 spans="1:26" x14ac:dyDescent="0.25">
      <c r="A28" s="23" t="s">
        <v>85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 spans="1:26" x14ac:dyDescent="0.25">
      <c r="A29" s="20" t="s">
        <v>86</v>
      </c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 spans="1:26" x14ac:dyDescent="0.25">
      <c r="A30" s="20" t="s">
        <v>87</v>
      </c>
      <c r="B30" s="33"/>
      <c r="C30" s="25"/>
      <c r="D30" s="26"/>
      <c r="E30" s="28"/>
      <c r="F30" s="28"/>
      <c r="G30" s="28"/>
      <c r="H30" s="33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 spans="1:26" x14ac:dyDescent="0.25">
      <c r="A31" s="33"/>
      <c r="B31" s="33"/>
      <c r="C31" s="25"/>
      <c r="D31" s="26"/>
      <c r="E31" s="36"/>
      <c r="F31" s="36"/>
      <c r="G31" s="36"/>
      <c r="H31" s="33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 spans="1:26" x14ac:dyDescent="0.25">
      <c r="A32" s="33"/>
      <c r="B32" s="33"/>
      <c r="C32" s="25"/>
      <c r="D32" s="26"/>
      <c r="E32" s="26"/>
      <c r="F32" s="26"/>
      <c r="G32" s="26"/>
      <c r="H32" s="26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5" ht="13.5" customHeight="1" spans="1:9" x14ac:dyDescent="0.25">
      <c r="A35" s="20" t="str">
        <f>Лист1!C20</f>
        <v>Представитель Южного РЭС АО "ОЭК" ____________________</v>
      </c>
      <c r="C35" s="20"/>
      <c r="D35" s="20"/>
      <c r="E35" s="20"/>
      <c r="F35" s="20"/>
      <c r="G35" s="20"/>
      <c r="H35" s="20"/>
      <c r="I35" s="20"/>
    </row>
    <row r="36" ht="13.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3.5" customHeight="1" spans="1:9" x14ac:dyDescent="0.25">
      <c r="A37" s="20" t="str">
        <f>Лист1!C21</f>
        <v>Начальник участка ООО «Резонанс-Энерго» ______________________Борков Е.А</v>
      </c>
      <c r="C37" s="20"/>
      <c r="D37" s="20"/>
      <c r="E37" s="20"/>
      <c r="F37" s="20"/>
      <c r="G37" s="20"/>
      <c r="H37" s="20"/>
      <c r="I37" s="20"/>
    </row>
    <row r="38" ht="13.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3.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9.99" customWidth="1"/>
    <col min="5" max="5" width="7.99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4.85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.75" customHeight="1" spans="2:11" x14ac:dyDescent="0.25">
      <c r="B3" s="15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3.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3.5" customHeight="1" spans="1:26" x14ac:dyDescent="0.25">
      <c r="A7" s="23" t="s">
        <v>88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 spans="1:26" x14ac:dyDescent="0.25">
      <c r="A14" s="25" t="s">
        <v>89</v>
      </c>
      <c r="B14" s="26"/>
      <c r="C14" s="25"/>
      <c r="D14" s="26"/>
      <c r="E14" s="28"/>
      <c r="F14" s="28"/>
      <c r="G14" s="28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 spans="1:26" x14ac:dyDescent="0.25">
      <c r="A15" s="29" t="str">
        <f>Лист1!B6</f>
        <v>ГНБ № 10-1С</v>
      </c>
      <c r="B15" s="29"/>
      <c r="C15" s="29"/>
      <c r="D15" s="26" t="s">
        <v>90</v>
      </c>
      <c r="E15" s="26"/>
      <c r="F15" s="31" t="str">
        <f>Лист1!B5</f>
        <v>По адресу: г. Москва, ул. Кантемировская, д.60</v>
      </c>
      <c r="G15" s="31"/>
      <c r="H15" s="31"/>
      <c r="I15" s="31"/>
      <c r="J15" s="3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 spans="1:26" x14ac:dyDescent="0.25">
      <c r="A16" s="20"/>
      <c r="B16" s="23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 spans="1:26" x14ac:dyDescent="0.25">
      <c r="A17" s="33" t="s">
        <v>91</v>
      </c>
      <c r="B17" s="26"/>
      <c r="C17" s="25"/>
      <c r="D17" s="26"/>
      <c r="E17" s="26"/>
      <c r="F17" s="26"/>
      <c r="G17" s="26"/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 spans="1:26" x14ac:dyDescent="0.25">
      <c r="A18" s="33" t="s">
        <v>92</v>
      </c>
      <c r="B18" s="33" t="s">
        <v>93</v>
      </c>
      <c r="C18" s="25"/>
      <c r="D18" s="35" t="str">
        <f>Лист1!A31</f>
        <v>ГНБ № 10-1С</v>
      </c>
      <c r="E18" s="35" t="s">
        <v>94</v>
      </c>
      <c r="F18" s="29">
        <f>Лист1!B31</f>
        <v>40.81</v>
      </c>
      <c r="G18" s="35" t="s">
        <v>95</v>
      </c>
      <c r="H18" s="29">
        <f>Лист1!C31</f>
        <v>42.96</v>
      </c>
      <c r="I18" s="3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 spans="1:26" x14ac:dyDescent="0.25">
      <c r="A19" s="33">
        <v>2</v>
      </c>
      <c r="B19" s="33" t="s">
        <v>96</v>
      </c>
      <c r="C19" s="25"/>
      <c r="D19" s="35" t="str">
        <f>Лист1!A31</f>
        <v>ГНБ № 10-1С</v>
      </c>
      <c r="E19" s="39">
        <f>Лист1!D31</f>
        <v>2</v>
      </c>
      <c r="F19" s="39"/>
      <c r="G19" s="35"/>
      <c r="H19" s="26"/>
      <c r="I19" s="2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 spans="1:26" x14ac:dyDescent="0.25">
      <c r="A20" s="33">
        <v>3</v>
      </c>
      <c r="B20" s="33" t="s">
        <v>97</v>
      </c>
      <c r="C20" s="25"/>
      <c r="D20" s="35" t="str">
        <f>Лист1!A31</f>
        <v>ГНБ № 10-1С</v>
      </c>
      <c r="E20" s="39">
        <f>Лист1!E31</f>
        <v>85.92</v>
      </c>
      <c r="F20" s="39"/>
      <c r="G20" s="35"/>
      <c r="H20" s="35"/>
      <c r="I20" s="35"/>
      <c r="J20" s="26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9.25" customHeight="1" spans="1:26" x14ac:dyDescent="0.25">
      <c r="A21" s="33">
        <v>4</v>
      </c>
      <c r="B21" s="33" t="s">
        <v>98</v>
      </c>
      <c r="D21" s="40" t="str">
        <f>Лист1!B26</f>
        <v>Труба "ПЭ тип "С" 110*6,3 техническая (L012) (паспорт  качества от 23.08.2021г.)</v>
      </c>
      <c r="E21" s="40"/>
      <c r="F21" s="40"/>
      <c r="G21" s="40"/>
      <c r="H21" s="40"/>
      <c r="I21" s="40"/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 spans="1:26" x14ac:dyDescent="0.25">
      <c r="A22" s="33">
        <v>5</v>
      </c>
      <c r="B22" s="33" t="s">
        <v>99</v>
      </c>
      <c r="C22" s="25"/>
      <c r="D22" s="26"/>
      <c r="E22" s="26"/>
      <c r="F22" s="26"/>
      <c r="G22" s="26"/>
      <c r="H22" s="26"/>
      <c r="I22" s="26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 spans="1:26" x14ac:dyDescent="0.25">
      <c r="A23" s="33">
        <v>6</v>
      </c>
      <c r="B23" s="33" t="s">
        <v>100</v>
      </c>
      <c r="C23" s="25"/>
      <c r="D23" s="26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 spans="1:26" x14ac:dyDescent="0.25">
      <c r="A24" s="33">
        <v>7</v>
      </c>
      <c r="B24" s="33" t="s">
        <v>101</v>
      </c>
      <c r="C24" s="25"/>
      <c r="D24" s="26"/>
      <c r="E24" s="26"/>
      <c r="F24" s="26"/>
      <c r="G24" s="26"/>
      <c r="H24" s="26"/>
      <c r="I24" s="26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 spans="1:26" x14ac:dyDescent="0.25">
      <c r="A25" s="33"/>
      <c r="B25" s="33"/>
      <c r="C25" s="25"/>
      <c r="D25" s="26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 spans="1:26" x14ac:dyDescent="0.25">
      <c r="A26" s="33" t="s">
        <v>102</v>
      </c>
      <c r="B26" s="33"/>
      <c r="C26" s="25"/>
      <c r="D26" s="26"/>
      <c r="E26" s="29" t="str">
        <f>Лист1!B6</f>
        <v>ГНБ № 10-1С</v>
      </c>
      <c r="F26" s="29"/>
      <c r="G26" s="29"/>
      <c r="H26" s="33" t="s">
        <v>103</v>
      </c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 spans="1:26" x14ac:dyDescent="0.25">
      <c r="A27" s="33" t="s">
        <v>104</v>
      </c>
      <c r="B27" s="33"/>
      <c r="C27" s="25"/>
      <c r="D27" s="26"/>
      <c r="E27" s="36"/>
      <c r="F27" s="36"/>
      <c r="G27" s="36"/>
      <c r="H27" s="33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 spans="1:26" x14ac:dyDescent="0.25">
      <c r="A28" s="33"/>
      <c r="B28" s="33"/>
      <c r="C28" s="25"/>
      <c r="D28" s="26"/>
      <c r="E28" s="36"/>
      <c r="F28" s="36"/>
      <c r="G28" s="36"/>
      <c r="H28" s="33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2" ht="13.5" customHeight="1" spans="1:9" x14ac:dyDescent="0.25">
      <c r="A32" s="20" t="str">
        <f>Лист1!C20</f>
        <v>Представитель Южного РЭС АО "ОЭК" ____________________</v>
      </c>
      <c r="C32" s="20"/>
      <c r="D32" s="20"/>
      <c r="E32" s="20"/>
      <c r="F32" s="20"/>
      <c r="G32" s="20"/>
      <c r="H32" s="20"/>
      <c r="I32" s="20"/>
    </row>
    <row r="33" ht="13.5" customHeight="1" spans="1:9" x14ac:dyDescent="0.25">
      <c r="A33" s="20"/>
      <c r="C33" s="20"/>
      <c r="D33" s="20"/>
      <c r="E33" s="20"/>
      <c r="F33" s="20"/>
      <c r="G33" s="20"/>
      <c r="H33" s="20"/>
      <c r="I33" s="20"/>
    </row>
    <row r="34" ht="13.5" customHeight="1" spans="1:9" x14ac:dyDescent="0.25">
      <c r="A34" s="20" t="str">
        <f>Лист1!C21</f>
        <v>Начальник участка ООО «Резонанс-Энерго» ______________________Борков Е.А</v>
      </c>
      <c r="C34" s="20"/>
      <c r="D34" s="20"/>
      <c r="E34" s="20"/>
      <c r="F34" s="20"/>
      <c r="G34" s="20"/>
      <c r="H34" s="20"/>
      <c r="I34" s="20"/>
    </row>
    <row r="35" ht="13.5" customHeight="1" spans="1:9" x14ac:dyDescent="0.25">
      <c r="A35" s="20"/>
      <c r="C35" s="20"/>
      <c r="D35" s="20"/>
      <c r="E35" s="20"/>
      <c r="F35" s="20"/>
      <c r="G35" s="20"/>
      <c r="H35" s="20"/>
      <c r="I35" s="20"/>
    </row>
    <row r="36" ht="13.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A15:C15"/>
    <mergeCell ref="D15:E15"/>
    <mergeCell ref="E19:F19"/>
    <mergeCell ref="H19:I19"/>
    <mergeCell ref="E20:F20"/>
    <mergeCell ref="H20:I20"/>
    <mergeCell ref="D21:I21"/>
    <mergeCell ref="E26:G2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2.99" customWidth="1"/>
    <col min="8" max="8" width="10.28" customWidth="1"/>
    <col min="9" max="9" width="9.28" customWidth="1"/>
    <col min="10" max="10" width="8.41" customWidth="1"/>
    <col min="11" max="11" width="8.99" customWidth="1"/>
    <col min="12" max="12" width="1.41" customWidth="1"/>
    <col min="13" max="13" width="9.14" customWidth="1"/>
  </cols>
  <sheetData>
    <row r="1" ht="15" customHeight="1" spans="2:11" x14ac:dyDescent="0.25">
      <c r="B1" s="41" t="s">
        <v>54</v>
      </c>
      <c r="C1" s="13" t="str">
        <f>Лист1!B14</f>
        <v>ГКУ «УДМС»</v>
      </c>
      <c r="D1" s="13"/>
      <c r="E1" s="13"/>
      <c r="F1" s="13"/>
      <c r="G1" s="42"/>
      <c r="H1" s="13"/>
      <c r="I1" s="13"/>
      <c r="J1" s="13"/>
      <c r="K1" s="13"/>
    </row>
    <row r="2" ht="15" customHeight="1" spans="2:11" x14ac:dyDescent="0.25">
      <c r="B2" s="41" t="s">
        <v>72</v>
      </c>
      <c r="C2" s="13" t="str">
        <f>Лист1!B15</f>
        <v>ООО «Резонанс-Энерго»</v>
      </c>
      <c r="D2" s="13"/>
      <c r="E2" s="13"/>
      <c r="F2" s="13"/>
      <c r="G2" s="42"/>
      <c r="H2" s="13"/>
      <c r="I2" s="13"/>
      <c r="J2" s="13"/>
      <c r="K2" s="13"/>
    </row>
    <row r="3" ht="45.75" customHeight="1" spans="2:11" x14ac:dyDescent="0.25">
      <c r="B3" s="43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5" customHeight="1" spans="2:11" x14ac:dyDescent="0.25">
      <c r="B4" s="43" t="s">
        <v>57</v>
      </c>
      <c r="C4" s="17" t="str">
        <f>Лист1!B11</f>
        <v>03.06.2024 г.</v>
      </c>
      <c r="G4" s="44"/>
      <c r="H4" s="44"/>
      <c r="I4" s="44"/>
      <c r="J4" s="44"/>
      <c r="K4" s="45"/>
    </row>
    <row r="5" ht="9.75" customHeight="1" spans="1:19" x14ac:dyDescent="0.25">
      <c r="A5" s="46"/>
      <c r="B5" s="46"/>
      <c r="G5" s="47"/>
      <c r="H5" s="47"/>
      <c r="I5" s="47"/>
      <c r="J5" s="47"/>
      <c r="K5" s="47"/>
      <c r="O5" s="48"/>
      <c r="P5" s="48"/>
      <c r="Q5" s="48"/>
      <c r="R5" s="48"/>
      <c r="S5" s="48"/>
    </row>
    <row r="6" ht="15.75" customHeight="1" spans="1:257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</row>
    <row r="7" ht="15.75" customHeight="1" spans="1:257" x14ac:dyDescent="0.25">
      <c r="A7" s="23" t="s">
        <v>105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5"/>
      <c r="M7" s="25"/>
      <c r="N7" s="25"/>
      <c r="O7" s="25"/>
      <c r="P7" s="25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</row>
    <row r="8" ht="11.25" customHeight="1" spans="1:257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5"/>
      <c r="M8" s="25"/>
      <c r="N8" s="25"/>
      <c r="O8" s="25"/>
      <c r="P8" s="25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</row>
    <row r="9" ht="15.75" customHeight="1" spans="1:257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L9" s="25"/>
      <c r="M9" s="25"/>
      <c r="N9" s="25"/>
      <c r="O9" s="25"/>
      <c r="P9" s="25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</row>
    <row r="10" ht="13.5" customHeight="1" spans="1:257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L10" s="25"/>
      <c r="M10" s="25"/>
      <c r="N10" s="25"/>
      <c r="O10" s="25"/>
      <c r="P10" s="2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</row>
    <row r="11" ht="13.5" customHeight="1" spans="1:257" x14ac:dyDescent="0.25">
      <c r="A11" s="25" t="str">
        <f>Лист1!B20</f>
        <v>Представитель ЮРЭС АО "ОЭК" </v>
      </c>
      <c r="B11" s="27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</row>
    <row r="12" ht="13.5" customHeight="1" spans="1:257" x14ac:dyDescent="0.25">
      <c r="A12" s="20" t="str">
        <f>Лист1!B21</f>
        <v>Начальник участка ООО «Резонанс-Энерго» Борков Е.А</v>
      </c>
      <c r="B12" s="27"/>
      <c r="C12" s="25"/>
      <c r="D12" s="20"/>
      <c r="E12" s="20"/>
      <c r="F12" s="20"/>
      <c r="G12" s="20"/>
      <c r="H12" s="20"/>
      <c r="I12" s="20"/>
      <c r="J12" s="20"/>
      <c r="K12" s="20"/>
      <c r="L12" s="25"/>
      <c r="M12" s="25"/>
      <c r="N12" s="25"/>
      <c r="O12" s="25"/>
      <c r="P12" s="25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</row>
    <row r="13" ht="15.75" customHeight="1" spans="1:257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L13" s="25"/>
      <c r="M13" s="25"/>
      <c r="N13" s="25"/>
      <c r="O13" s="25"/>
      <c r="P13" s="25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</row>
    <row r="14" ht="15.75" customHeight="1" spans="1:257" x14ac:dyDescent="0.25">
      <c r="A14" s="25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L14" s="25"/>
      <c r="M14" s="25"/>
      <c r="N14" s="25"/>
      <c r="O14" s="25"/>
      <c r="P14" s="25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</row>
    <row r="15" ht="15.75" customHeight="1" spans="1:257" x14ac:dyDescent="0.25">
      <c r="A15" s="25" t="s">
        <v>106</v>
      </c>
      <c r="B15" s="28"/>
      <c r="C15" s="28"/>
      <c r="D15" s="25"/>
      <c r="E15" s="49" t="str">
        <f>Лист1!B6</f>
        <v>ГНБ № 10-1С</v>
      </c>
      <c r="F15" s="49"/>
      <c r="G15" s="49"/>
      <c r="H15" s="28"/>
      <c r="I15" s="28"/>
      <c r="J15" s="25"/>
      <c r="K15" s="25"/>
      <c r="L15" s="25"/>
      <c r="M15" s="25"/>
      <c r="N15" s="25"/>
      <c r="O15" s="25"/>
      <c r="P15" s="25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</row>
    <row r="16" ht="15.75" customHeight="1" spans="1:257" x14ac:dyDescent="0.25">
      <c r="A16" s="25" t="s">
        <v>107</v>
      </c>
      <c r="B16" s="28"/>
      <c r="C16" s="28"/>
      <c r="D16" s="25"/>
      <c r="E16" s="25"/>
      <c r="F16" s="28"/>
      <c r="G16" s="28"/>
      <c r="H16" s="28"/>
      <c r="I16" s="28"/>
      <c r="J16" s="25"/>
      <c r="K16" s="25"/>
      <c r="L16" s="25"/>
      <c r="M16" s="25"/>
      <c r="N16" s="25"/>
      <c r="O16" s="25"/>
      <c r="P16" s="25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</row>
    <row r="17" ht="15.75" customHeight="1" spans="1:257" x14ac:dyDescent="0.25">
      <c r="A17" s="31" t="str">
        <f>Лист1!B23</f>
        <v>Представитель Южного РЭС АО "ОЭК" и АО "ОЭК"</v>
      </c>
      <c r="B17" s="31"/>
      <c r="C17" s="31"/>
      <c r="D17" s="31"/>
      <c r="E17" s="31"/>
      <c r="F17" s="31"/>
      <c r="G17" s="31"/>
      <c r="H17" s="25" t="s">
        <v>108</v>
      </c>
      <c r="I17" s="36"/>
      <c r="J17" s="25"/>
      <c r="K17" s="25"/>
      <c r="L17" s="25"/>
      <c r="M17" s="25"/>
      <c r="N17" s="25"/>
      <c r="O17" s="25"/>
      <c r="P17" s="2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</row>
    <row r="18" ht="15.75" customHeight="1" spans="1:257" x14ac:dyDescent="0.25">
      <c r="A18" s="25" t="s">
        <v>109</v>
      </c>
      <c r="B18" s="28"/>
      <c r="C18" s="28"/>
      <c r="D18" s="25"/>
      <c r="E18" s="25"/>
      <c r="F18" s="28"/>
      <c r="G18" s="28"/>
      <c r="H18" s="28"/>
      <c r="I18" s="28"/>
      <c r="J18" s="25"/>
      <c r="K18" s="25"/>
      <c r="L18" s="25"/>
      <c r="M18" s="25"/>
      <c r="N18" s="25"/>
      <c r="O18" s="25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</row>
    <row r="19" ht="15.75" customHeight="1" spans="1:257" x14ac:dyDescent="0.25">
      <c r="A19" s="20" t="s">
        <v>110</v>
      </c>
      <c r="B19" s="26"/>
      <c r="C19" s="25"/>
      <c r="D19" s="23"/>
      <c r="E19" s="23"/>
      <c r="F19" s="23"/>
      <c r="G19" s="23"/>
      <c r="H19" s="23"/>
      <c r="I19" s="23"/>
      <c r="J19" s="23"/>
      <c r="K19" s="23"/>
      <c r="L19" s="25"/>
      <c r="M19" s="25"/>
      <c r="N19" s="25"/>
      <c r="O19" s="25"/>
      <c r="P19" s="25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</row>
    <row r="20" ht="15.75" customHeight="1" spans="1:257" x14ac:dyDescent="0.25">
      <c r="A20" s="25" t="s">
        <v>111</v>
      </c>
      <c r="B20" s="26"/>
      <c r="C20" s="25"/>
      <c r="D20" s="28"/>
      <c r="E20" s="28"/>
      <c r="F20" s="28"/>
      <c r="G20" s="20"/>
      <c r="H20" s="26"/>
      <c r="I20" s="26"/>
      <c r="J20" s="26"/>
      <c r="K20" s="26"/>
      <c r="L20" s="25"/>
      <c r="M20" s="25"/>
      <c r="N20" s="25"/>
      <c r="O20" s="25"/>
      <c r="P20" s="25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ht="15.75" customHeight="1" spans="1:257" x14ac:dyDescent="0.25">
      <c r="A21" s="25" t="s">
        <v>112</v>
      </c>
      <c r="B21" s="22"/>
      <c r="C21" s="25"/>
      <c r="D21" s="35"/>
      <c r="E21" s="35"/>
      <c r="F21" s="36"/>
      <c r="G21" s="35"/>
      <c r="H21" s="35"/>
      <c r="I21" s="36"/>
      <c r="J21" s="26"/>
      <c r="K21" s="26"/>
      <c r="L21" s="25"/>
      <c r="M21" s="25"/>
      <c r="N21" s="25"/>
      <c r="O21" s="25"/>
      <c r="P21" s="25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</row>
    <row r="22" ht="15.75" customHeight="1" spans="1:257" x14ac:dyDescent="0.25">
      <c r="A22" s="33"/>
      <c r="B22" s="33"/>
      <c r="C22" s="25"/>
      <c r="D22" s="35"/>
      <c r="E22" s="35"/>
      <c r="F22" s="36"/>
      <c r="G22" s="35"/>
      <c r="H22" s="35"/>
      <c r="I22" s="36"/>
      <c r="J22" s="26"/>
      <c r="K22" s="26"/>
      <c r="L22" s="25"/>
      <c r="M22" s="25"/>
      <c r="N22" s="25"/>
      <c r="O22" s="25"/>
      <c r="P22" s="25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ht="15.75" customHeight="1" spans="1:257" x14ac:dyDescent="0.25">
      <c r="A23" s="20" t="s">
        <v>80</v>
      </c>
      <c r="B23" s="20"/>
      <c r="C23" s="25"/>
      <c r="D23" s="29" t="str">
        <f>Лист1!B16</f>
        <v>АО "МОСИНЖПРОЕКТ"</v>
      </c>
      <c r="E23" s="29"/>
      <c r="F23" s="29"/>
      <c r="G23" s="35" t="s">
        <v>81</v>
      </c>
      <c r="H23" s="31" t="str">
        <f>Лист1!B7</f>
        <v>ИМ-19-4-Р-3.2Э-ЗП2</v>
      </c>
      <c r="I23" s="31"/>
      <c r="J23" s="31"/>
      <c r="K23" s="26"/>
      <c r="L23" s="25"/>
      <c r="M23" s="25"/>
      <c r="N23" s="25"/>
      <c r="O23" s="25"/>
      <c r="P23" s="25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</row>
    <row r="24" ht="15.75" customHeight="1" spans="1:257" x14ac:dyDescent="0.25">
      <c r="A24" s="33"/>
      <c r="B24" s="33"/>
      <c r="C24" s="25"/>
      <c r="D24" s="35"/>
      <c r="E24" s="13"/>
      <c r="F24" s="13"/>
      <c r="G24" s="35"/>
      <c r="H24" s="25"/>
      <c r="I24" s="25"/>
      <c r="J24" s="26"/>
      <c r="K24" s="26"/>
      <c r="L24" s="25"/>
      <c r="M24" s="25"/>
      <c r="N24" s="25"/>
      <c r="O24" s="25"/>
      <c r="P24" s="2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</row>
    <row r="25" ht="32.25" customHeight="1" spans="1:257" x14ac:dyDescent="0.25">
      <c r="A25" s="20" t="s">
        <v>113</v>
      </c>
      <c r="B25" s="33"/>
      <c r="C25" s="25"/>
      <c r="D25" s="35"/>
      <c r="E25" s="50" t="str">
        <f>Лист1!B26</f>
        <v>Труба "ПЭ тип "С" 110*6,3 техническая (L012) (паспорт  качества от 23.08.2021г.)</v>
      </c>
      <c r="F25" s="50"/>
      <c r="G25" s="50"/>
      <c r="H25" s="50"/>
      <c r="I25" s="50"/>
      <c r="J25" s="50"/>
      <c r="K25" s="26"/>
      <c r="L25" s="25"/>
      <c r="M25" s="25"/>
      <c r="N25" s="25"/>
      <c r="O25" s="25"/>
      <c r="P25" s="25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</row>
    <row r="26" ht="15.75" customHeight="1" spans="1:257" x14ac:dyDescent="0.25">
      <c r="A26" s="33"/>
      <c r="B26" s="33"/>
      <c r="C26" s="25"/>
      <c r="D26" s="35"/>
      <c r="E26" s="13"/>
      <c r="F26" s="13"/>
      <c r="G26" s="35"/>
      <c r="H26" s="25"/>
      <c r="I26" s="25"/>
      <c r="J26" s="26"/>
      <c r="K26" s="26"/>
      <c r="L26" s="25"/>
      <c r="M26" s="25"/>
      <c r="N26" s="25"/>
      <c r="O26" s="25"/>
      <c r="P26" s="2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</row>
    <row r="27" ht="15.75" customHeight="1" spans="1:257" x14ac:dyDescent="0.25">
      <c r="A27" s="20" t="s">
        <v>83</v>
      </c>
      <c r="B27" s="33"/>
      <c r="C27" s="25"/>
      <c r="D27" s="37" t="str">
        <f>Лист1!B8</f>
        <v>01.06.2024 г.</v>
      </c>
      <c r="E27" s="37"/>
      <c r="F27" s="37"/>
      <c r="G27" s="35"/>
      <c r="H27" s="13"/>
      <c r="I27" s="13"/>
      <c r="J27" s="26"/>
      <c r="K27" s="26"/>
      <c r="L27" s="25"/>
      <c r="M27" s="25"/>
      <c r="N27" s="25"/>
      <c r="O27" s="25"/>
      <c r="P27" s="2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</row>
    <row r="28" ht="15.75" customHeight="1" spans="1:257" x14ac:dyDescent="0.25">
      <c r="A28" s="33"/>
      <c r="B28" s="33"/>
      <c r="C28" s="25"/>
      <c r="D28" s="13"/>
      <c r="E28" s="26"/>
      <c r="F28" s="26"/>
      <c r="G28" s="26"/>
      <c r="H28" s="26"/>
      <c r="I28" s="26"/>
      <c r="J28" s="26"/>
      <c r="K28" s="26"/>
      <c r="L28" s="25"/>
      <c r="M28" s="25"/>
      <c r="N28" s="25"/>
      <c r="O28" s="25"/>
      <c r="P28" s="25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</row>
    <row r="29" ht="15.75" customHeight="1" spans="1:257" x14ac:dyDescent="0.25">
      <c r="A29" s="20" t="s">
        <v>84</v>
      </c>
      <c r="B29" s="33"/>
      <c r="C29" s="25"/>
      <c r="D29" s="37" t="str">
        <f>Лист1!B9</f>
        <v>03.06.2024 г.</v>
      </c>
      <c r="E29" s="37"/>
      <c r="F29" s="37"/>
      <c r="G29" s="26"/>
      <c r="H29" s="26"/>
      <c r="I29" s="26"/>
      <c r="J29" s="26"/>
      <c r="K29" s="26"/>
      <c r="L29" s="25"/>
      <c r="M29" s="25"/>
      <c r="N29" s="25"/>
      <c r="O29" s="25"/>
      <c r="P29" s="2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</row>
    <row r="30" ht="15.75" customHeight="1" spans="1:257" x14ac:dyDescent="0.25">
      <c r="A30" s="33"/>
      <c r="B30" s="33"/>
      <c r="C30" s="25"/>
      <c r="D30" s="26"/>
      <c r="E30" s="26"/>
      <c r="F30" s="26"/>
      <c r="G30" s="26"/>
      <c r="H30" s="26"/>
      <c r="I30" s="26"/>
      <c r="J30" s="26"/>
      <c r="K30" s="26"/>
      <c r="L30" s="25"/>
      <c r="M30" s="25"/>
      <c r="N30" s="25"/>
      <c r="O30" s="25"/>
      <c r="P30" s="25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ht="15.75" customHeight="1" spans="1:257" x14ac:dyDescent="0.25">
      <c r="A31" s="23" t="s">
        <v>85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5"/>
      <c r="M31" s="25"/>
      <c r="N31" s="25"/>
      <c r="O31" s="25"/>
      <c r="P31" s="25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</row>
    <row r="32" ht="15.75" customHeight="1" spans="1:257" x14ac:dyDescent="0.25">
      <c r="A32" s="20" t="s">
        <v>86</v>
      </c>
      <c r="B32" s="33"/>
      <c r="C32" s="25"/>
      <c r="D32" s="26"/>
      <c r="E32" s="26"/>
      <c r="F32" s="26"/>
      <c r="G32" s="26"/>
      <c r="H32" s="26"/>
      <c r="I32" s="26"/>
      <c r="J32" s="26"/>
      <c r="K32" s="26"/>
      <c r="L32" s="25"/>
      <c r="M32" s="25"/>
      <c r="N32" s="25"/>
      <c r="O32" s="25"/>
      <c r="P32" s="25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</row>
    <row r="33" ht="15.75" customHeight="1" spans="1:257" x14ac:dyDescent="0.25">
      <c r="A33" s="20" t="s">
        <v>114</v>
      </c>
      <c r="B33" s="33"/>
      <c r="C33" s="25"/>
      <c r="D33" s="26"/>
      <c r="E33" s="28"/>
      <c r="F33" s="28"/>
      <c r="G33" s="28"/>
      <c r="H33" s="33"/>
      <c r="I33" s="26"/>
      <c r="J33" s="26"/>
      <c r="K33" s="26"/>
      <c r="L33" s="25"/>
      <c r="M33" s="25"/>
      <c r="N33" s="25"/>
      <c r="O33" s="25"/>
      <c r="P33" s="25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ht="15.75" customHeight="1" spans="1:257" x14ac:dyDescent="0.25">
      <c r="A34" s="33"/>
      <c r="B34" s="33"/>
      <c r="C34" s="25"/>
      <c r="D34" s="26"/>
      <c r="E34" s="36"/>
      <c r="F34" s="36"/>
      <c r="G34" s="36"/>
      <c r="H34" s="33"/>
      <c r="I34" s="26"/>
      <c r="J34" s="26"/>
      <c r="K34" s="26"/>
      <c r="L34" s="25"/>
      <c r="M34" s="25"/>
      <c r="N34" s="25"/>
      <c r="O34" s="25"/>
      <c r="P34" s="25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</row>
    <row r="35" ht="15.75" customHeight="1" spans="1:25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</row>
    <row r="36" ht="15.75" customHeight="1" spans="1:25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</row>
    <row r="37" ht="15.75" customHeight="1" spans="1:257" x14ac:dyDescent="0.25">
      <c r="A37" s="20" t="str">
        <f>Лист1!C20</f>
        <v>Представитель Южного РЭС АО "ОЭК" ____________________</v>
      </c>
      <c r="B37" s="25"/>
      <c r="C37" s="20"/>
      <c r="D37" s="20"/>
      <c r="E37" s="20"/>
      <c r="F37" s="20"/>
      <c r="G37" s="20"/>
      <c r="H37" s="20"/>
      <c r="I37" s="20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</row>
    <row r="38" ht="15.75" customHeight="1" spans="1:257" x14ac:dyDescent="0.25">
      <c r="A38" s="20"/>
      <c r="B38" s="25"/>
      <c r="C38" s="20"/>
      <c r="D38" s="20"/>
      <c r="E38" s="20"/>
      <c r="F38" s="20"/>
      <c r="G38" s="20"/>
      <c r="H38" s="20"/>
      <c r="I38" s="20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</row>
    <row r="39" ht="15.75" customHeight="1" spans="1:257" x14ac:dyDescent="0.25">
      <c r="A39" s="20" t="str">
        <f>Лист1!C21</f>
        <v>Начальник участка ООО «Резонанс-Энерго» ______________________Борков Е.А</v>
      </c>
      <c r="B39" s="25"/>
      <c r="C39" s="20"/>
      <c r="D39" s="20"/>
      <c r="E39" s="20"/>
      <c r="F39" s="20"/>
      <c r="G39" s="20"/>
      <c r="H39" s="20"/>
      <c r="I39" s="20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</row>
    <row r="40" ht="15.75" customHeight="1" spans="1:257" x14ac:dyDescent="0.25">
      <c r="A40" s="20"/>
      <c r="B40" s="25"/>
      <c r="C40" s="20"/>
      <c r="D40" s="20"/>
      <c r="E40" s="20"/>
      <c r="F40" s="20"/>
      <c r="G40" s="20"/>
      <c r="H40" s="20"/>
      <c r="I40" s="20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</row>
    <row r="41" ht="15.75" customHeight="1" spans="1:257" x14ac:dyDescent="0.25">
      <c r="A41" s="20"/>
      <c r="B41" s="25"/>
      <c r="C41" s="20"/>
      <c r="D41" s="20"/>
      <c r="E41" s="20"/>
      <c r="F41" s="20"/>
      <c r="G41" s="20"/>
      <c r="H41" s="20"/>
      <c r="I41" s="20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</row>
    <row r="42" ht="15.75" customHeight="1" spans="1:25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</row>
    <row r="43" ht="15.75" customHeight="1" spans="1:25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</row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23:F23"/>
    <mergeCell ref="E25:J25"/>
    <mergeCell ref="D27:F27"/>
    <mergeCell ref="D29:F29"/>
    <mergeCell ref="A31:K3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" customHeight="1" spans="1:257" x14ac:dyDescent="0.25">
      <c r="A3" s="51"/>
      <c r="B3" s="15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115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75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76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116</v>
      </c>
      <c r="B17" s="26"/>
      <c r="C17" s="25"/>
      <c r="D17" s="29" t="str">
        <f>Лист1!B6</f>
        <v>ГНБ № 10-1С</v>
      </c>
      <c r="E17" s="29"/>
      <c r="F17" s="29"/>
      <c r="G17" s="20" t="s">
        <v>90</v>
      </c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30" t="str">
        <f>Лист1!B5</f>
        <v>По адресу: г. Москва, ул. Кантемировская, д.60</v>
      </c>
      <c r="B18" s="52"/>
      <c r="C18" s="32"/>
      <c r="D18" s="39"/>
      <c r="E18" s="39"/>
      <c r="F18" s="29"/>
      <c r="G18" s="39"/>
      <c r="H18" s="35"/>
      <c r="I18" s="3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5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80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81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33"/>
      <c r="B21" s="33"/>
      <c r="C21" s="25"/>
      <c r="D21" s="35"/>
      <c r="E21" s="13"/>
      <c r="F21" s="13"/>
      <c r="G21" s="35"/>
      <c r="H21" s="25"/>
      <c r="I21" s="25"/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20" t="s">
        <v>117</v>
      </c>
      <c r="B22" s="33"/>
      <c r="C22" s="25"/>
      <c r="D22" s="37" t="str">
        <f>Лист1!B8</f>
        <v>01.06.2024 г.</v>
      </c>
      <c r="E22" s="37"/>
      <c r="F22" s="37"/>
      <c r="G22" s="35"/>
      <c r="H22" s="13"/>
      <c r="I22" s="13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3"/>
      <c r="B23" s="33"/>
      <c r="C23" s="25"/>
      <c r="D23" s="13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118</v>
      </c>
      <c r="B24" s="33"/>
      <c r="C24" s="25"/>
      <c r="D24" s="37" t="str">
        <f>Лист1!B9</f>
        <v>03.06.2024 г.</v>
      </c>
      <c r="E24" s="37"/>
      <c r="F24" s="37"/>
      <c r="G24" s="26"/>
      <c r="H24" s="26"/>
      <c r="I24" s="26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26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3" t="s">
        <v>85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20" t="s">
        <v>86</v>
      </c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114</v>
      </c>
      <c r="B28" s="33"/>
      <c r="C28" s="25"/>
      <c r="D28" s="26"/>
      <c r="E28" s="28"/>
      <c r="F28" s="28"/>
      <c r="G28" s="28"/>
      <c r="H28" s="33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36"/>
      <c r="F29" s="36"/>
      <c r="G29" s="36"/>
      <c r="H29" s="33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33"/>
      <c r="B30" s="33"/>
      <c r="C30" s="25"/>
      <c r="D30" s="26"/>
      <c r="E30" s="26"/>
      <c r="F30" s="26"/>
      <c r="G30" s="26"/>
      <c r="H30" s="26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x14ac:dyDescent="0.25"/>
    <row r="32" ht="15.75" customHeight="1" x14ac:dyDescent="0.25"/>
    <row r="33" ht="15.75" customHeight="1" spans="1:9" x14ac:dyDescent="0.25">
      <c r="A33" s="20" t="str">
        <f>Лист1!C20</f>
        <v>Представитель Южного РЭС АО "ОЭК" ____________________</v>
      </c>
      <c r="C33" s="20"/>
      <c r="D33" s="54"/>
      <c r="E33" s="54"/>
      <c r="F33" s="54"/>
      <c r="G33" s="20"/>
      <c r="H33" s="20"/>
      <c r="I33" s="20"/>
    </row>
    <row r="34" ht="15.75" customHeight="1" spans="1:9" x14ac:dyDescent="0.25">
      <c r="A34" s="20"/>
      <c r="C34" s="20"/>
      <c r="D34" s="20"/>
      <c r="E34" s="20"/>
      <c r="F34" s="20"/>
      <c r="G34" s="20"/>
      <c r="H34" s="20"/>
      <c r="I34" s="20"/>
    </row>
    <row r="35" ht="15.75" customHeight="1" spans="1:9" x14ac:dyDescent="0.25">
      <c r="A35" s="20" t="str">
        <f>Лист1!C21</f>
        <v>Начальник участка ООО «Резонанс-Энерго» ______________________Борков Е.А</v>
      </c>
      <c r="C35" s="20"/>
      <c r="D35" s="20"/>
      <c r="E35" s="55"/>
      <c r="F35" s="55"/>
      <c r="G35" s="55"/>
      <c r="H35" s="20"/>
      <c r="I35" s="20"/>
    </row>
    <row r="36" ht="15.7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/>
      <c r="C37" s="20"/>
      <c r="D37" s="20"/>
      <c r="E37" s="20"/>
      <c r="F37" s="20"/>
      <c r="G37" s="20"/>
      <c r="H37" s="20"/>
      <c r="I37" s="20"/>
    </row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17:F17"/>
    <mergeCell ref="D20:F20"/>
    <mergeCell ref="D22:F22"/>
    <mergeCell ref="D24:F24"/>
    <mergeCell ref="A26:K2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48.75" customHeight="1" spans="2:11" x14ac:dyDescent="0.25">
      <c r="B3" s="15" t="s">
        <v>56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119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2" t="s">
        <v>75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76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120</v>
      </c>
      <c r="B17" s="26"/>
      <c r="C17" s="25"/>
      <c r="D17" s="29" t="str">
        <f>Лист1!B6</f>
        <v>ГНБ № 10-1С</v>
      </c>
      <c r="E17" s="29"/>
      <c r="F17" s="29"/>
      <c r="G17" s="29"/>
      <c r="H17" s="20" t="s">
        <v>78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79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80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81</v>
      </c>
      <c r="H20" s="57" t="str">
        <f>Лист1!B7</f>
        <v>ИМ-19-4-Р-3.2Э-ЗП2</v>
      </c>
      <c r="I20" s="57"/>
      <c r="J20" s="57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33" customHeight="1" spans="1:26" x14ac:dyDescent="0.25">
      <c r="A22" s="20" t="s">
        <v>121</v>
      </c>
      <c r="B22" s="20"/>
      <c r="C22" s="25"/>
      <c r="D22" s="36"/>
      <c r="E22" s="57" t="str">
        <f>Лист1!B26</f>
        <v>Труба "ПЭ тип "С" 110*6,3 техническая (L012) (паспорт  качества от 23.08.2021г.)</v>
      </c>
      <c r="F22" s="57"/>
      <c r="G22" s="57"/>
      <c r="H22" s="57"/>
      <c r="I22" s="57"/>
      <c r="J22" s="57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20"/>
      <c r="B23" s="20"/>
      <c r="C23" s="25"/>
      <c r="D23" s="36"/>
      <c r="E23" s="36"/>
      <c r="F23" s="36"/>
      <c r="G23" s="35"/>
      <c r="H23" s="36"/>
      <c r="I23" s="36"/>
      <c r="J23" s="3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122</v>
      </c>
      <c r="B24" s="20"/>
      <c r="C24" s="25"/>
      <c r="D24" s="36"/>
      <c r="E24" s="30" t="str">
        <f>Лист1!B27</f>
        <v> d=110 мм.</v>
      </c>
      <c r="F24" s="30"/>
      <c r="G24" s="30"/>
      <c r="H24" s="30"/>
      <c r="I24" s="30"/>
      <c r="J24" s="30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35"/>
      <c r="E25" s="13"/>
      <c r="F25" s="13"/>
      <c r="G25" s="35"/>
      <c r="H25" s="25"/>
      <c r="I25" s="25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123</v>
      </c>
      <c r="B26" s="33"/>
      <c r="C26" s="25"/>
      <c r="D26" s="37" t="str">
        <f>Лист1!B8</f>
        <v>01.06.2024 г.</v>
      </c>
      <c r="E26" s="37"/>
      <c r="F26" s="37"/>
      <c r="G26" s="35"/>
      <c r="H26" s="13"/>
      <c r="I26" s="13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13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124</v>
      </c>
      <c r="B28" s="33"/>
      <c r="C28" s="25"/>
      <c r="D28" s="37" t="str">
        <f>Лист1!B9</f>
        <v>03.06.2024 г.</v>
      </c>
      <c r="E28" s="37"/>
      <c r="F28" s="37"/>
      <c r="G28" s="26"/>
      <c r="H28" s="26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3" t="s">
        <v>85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20" t="s">
        <v>86</v>
      </c>
      <c r="B31" s="33"/>
      <c r="C31" s="25"/>
      <c r="D31" s="26"/>
      <c r="E31" s="26"/>
      <c r="F31" s="26"/>
      <c r="G31" s="26"/>
      <c r="H31" s="26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20" t="s">
        <v>114</v>
      </c>
      <c r="B32" s="33"/>
      <c r="C32" s="25"/>
      <c r="D32" s="26"/>
      <c r="E32" s="28"/>
      <c r="F32" s="28"/>
      <c r="G32" s="28"/>
      <c r="H32" s="33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spans="1:26" x14ac:dyDescent="0.25">
      <c r="A33" s="33"/>
      <c r="B33" s="33"/>
      <c r="C33" s="25"/>
      <c r="D33" s="26"/>
      <c r="E33" s="26"/>
      <c r="F33" s="26"/>
      <c r="G33" s="26"/>
      <c r="H33" s="26"/>
      <c r="I33" s="26"/>
      <c r="J33" s="26"/>
      <c r="K33" s="26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 x14ac:dyDescent="0.25"/>
    <row r="35" ht="15.75" customHeight="1" x14ac:dyDescent="0.25"/>
    <row r="36" ht="15.75" customHeight="1" spans="1:9" x14ac:dyDescent="0.25">
      <c r="A36" s="20" t="str">
        <f>Лист1!C20</f>
        <v>Представитель Южного РЭС АО "ОЭК" ____________________</v>
      </c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/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 t="str">
        <f>Лист1!C21</f>
        <v>Начальник участка ООО «Резонанс-Энерго» ______________________Борков Е.А</v>
      </c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0" ht="15.75" customHeight="1" spans="1:9" x14ac:dyDescent="0.25">
      <c r="A40" s="20"/>
      <c r="C40" s="20"/>
      <c r="D40" s="20"/>
      <c r="E40" s="20"/>
      <c r="F40" s="20"/>
      <c r="G40" s="20"/>
      <c r="H40" s="20"/>
      <c r="I40" s="20"/>
    </row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2" max="2" width="9.7" customWidth="1"/>
    <col min="10" max="10" width="12.28" customWidth="1"/>
    <col min="11" max="11" width="21.12" customWidth="1"/>
  </cols>
  <sheetData>
    <row r="1" ht="15.75" customHeight="1" spans="1:11" x14ac:dyDescent="0.25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ht="15.75" customHeight="1" spans="1:11" x14ac:dyDescent="0.25">
      <c r="A2" s="58" t="s">
        <v>125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ht="15.75" customHeight="1" x14ac:dyDescent="0.25"/>
    <row r="4" ht="15.75" customHeight="1" spans="1:11" x14ac:dyDescent="0.25">
      <c r="A4" s="46" t="s">
        <v>126</v>
      </c>
      <c r="B4" s="46"/>
      <c r="C4" s="25"/>
      <c r="D4" s="25"/>
      <c r="E4" s="25"/>
      <c r="F4" s="25"/>
      <c r="G4" s="47" t="str">
        <f>Лист1!B11</f>
        <v>03.06.2024 г.</v>
      </c>
      <c r="H4" s="47"/>
      <c r="I4" s="47"/>
      <c r="J4" s="47"/>
      <c r="K4" s="47"/>
    </row>
    <row r="5" ht="15.75" customHeight="1" spans="1:9" x14ac:dyDescent="0.25">
      <c r="A5" s="25"/>
      <c r="B5" s="25"/>
      <c r="C5" s="25"/>
      <c r="D5" s="25"/>
      <c r="E5" s="25"/>
      <c r="F5" s="25"/>
      <c r="G5" s="25"/>
      <c r="H5" s="25"/>
      <c r="I5" s="25"/>
    </row>
    <row r="6" ht="15.75" customHeight="1" spans="1:26" x14ac:dyDescent="0.25">
      <c r="A6" s="59" t="s">
        <v>127</v>
      </c>
      <c r="B6" s="59"/>
      <c r="C6" s="59"/>
      <c r="D6" s="59"/>
      <c r="E6" s="59"/>
      <c r="F6" s="60" t="str">
        <f>Лист1!B3</f>
        <v>ГНБ 10-1С г. Москва, ул. Кантемировская, д.60</v>
      </c>
      <c r="G6" s="60"/>
      <c r="H6" s="60"/>
      <c r="I6" s="60"/>
      <c r="J6" s="60"/>
      <c r="K6" s="60"/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 spans="1:11" x14ac:dyDescent="0.25">
      <c r="A7" s="63" t="s">
        <v>128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8" ht="15.75" customHeight="1" x14ac:dyDescent="0.25"/>
    <row r="9" ht="40.5" customHeight="1" spans="1:11" x14ac:dyDescent="0.25">
      <c r="A9" s="64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64"/>
      <c r="C9" s="64"/>
      <c r="D9" s="64"/>
      <c r="E9" s="64"/>
      <c r="F9" s="64"/>
      <c r="G9" s="64"/>
      <c r="H9" s="64"/>
      <c r="I9" s="64"/>
      <c r="J9" s="64"/>
      <c r="K9" s="64"/>
    </row>
    <row r="10" ht="12" customHeight="1" spans="1:11" x14ac:dyDescent="0.25">
      <c r="A10" s="65" t="s">
        <v>129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</row>
    <row r="11" ht="15.75" customHeight="1" spans="1:11" x14ac:dyDescent="0.25">
      <c r="A11" s="66" t="str">
        <f>Лист1!B5</f>
        <v>По адресу: г. Москва, ул. Кантемировская, д.60</v>
      </c>
      <c r="B11" s="66"/>
      <c r="C11" s="66"/>
      <c r="D11" s="66"/>
      <c r="E11" s="66"/>
      <c r="F11" s="66"/>
      <c r="G11" s="66"/>
      <c r="H11" s="66"/>
      <c r="I11" s="66"/>
      <c r="J11" s="67"/>
      <c r="K11" s="67"/>
    </row>
    <row r="12" ht="15.75" customHeight="1" spans="1:11" x14ac:dyDescent="0.25">
      <c r="A12" s="63" t="s">
        <v>130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ht="15.75" customHeight="1" spans="1:11" x14ac:dyDescent="0.25">
      <c r="A13" s="46" t="s">
        <v>131</v>
      </c>
      <c r="B13" s="46"/>
      <c r="C13" s="68" t="str">
        <f>Лист1!B23</f>
        <v>Представитель Южного РЭС АО "ОЭК" и АО "ОЭК"</v>
      </c>
      <c r="D13" s="46"/>
      <c r="E13" s="46"/>
      <c r="F13" s="46"/>
      <c r="G13" s="46"/>
      <c r="H13" s="46"/>
      <c r="I13" s="46"/>
      <c r="J13" s="46"/>
      <c r="K13" s="46"/>
    </row>
    <row r="14" ht="15.75" customHeight="1" spans="1:11" x14ac:dyDescent="0.25">
      <c r="A14" s="69" t="s">
        <v>132</v>
      </c>
      <c r="B14" s="69"/>
      <c r="C14" s="68" t="str">
        <f>Лист1!B20</f>
        <v>Представитель ЮРЭС АО "ОЭК" </v>
      </c>
      <c r="D14" s="20"/>
      <c r="E14" s="20"/>
      <c r="F14" s="20"/>
      <c r="G14" s="20"/>
      <c r="H14" s="20"/>
      <c r="I14" s="20"/>
      <c r="J14" s="70"/>
      <c r="K14" s="70"/>
    </row>
    <row r="15" ht="15.75" customHeight="1" spans="1:11" x14ac:dyDescent="0.25">
      <c r="A15" s="71" t="s">
        <v>133</v>
      </c>
      <c r="B15" s="71"/>
      <c r="C15" s="68" t="str">
        <f>Лист1!B21</f>
        <v>Начальник участка ООО «Резонанс-Энерго» Борков Е.А</v>
      </c>
      <c r="D15" s="68"/>
      <c r="E15" s="68"/>
      <c r="F15" s="68"/>
      <c r="G15" s="68"/>
      <c r="H15" s="68"/>
      <c r="I15" s="68"/>
      <c r="J15" s="68"/>
      <c r="K15" s="68"/>
    </row>
    <row r="16" ht="15.75" customHeight="1" spans="3:26" x14ac:dyDescent="0.25">
      <c r="C16" s="46" t="str">
        <f>Лист1!B22</f>
        <v> </v>
      </c>
      <c r="D16" s="46"/>
      <c r="E16" s="46"/>
      <c r="F16" s="46"/>
      <c r="G16" s="46"/>
      <c r="H16" s="46"/>
      <c r="I16" s="46"/>
      <c r="J16" s="46"/>
      <c r="K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 spans="1:11" x14ac:dyDescent="0.25">
      <c r="A17" s="25"/>
      <c r="B17" s="25"/>
      <c r="C17" s="46"/>
      <c r="D17" s="46"/>
      <c r="E17" s="46"/>
      <c r="F17" s="46"/>
      <c r="G17" s="46"/>
      <c r="H17" s="46"/>
      <c r="I17" s="46"/>
      <c r="J17" s="46"/>
      <c r="K17" s="46"/>
    </row>
    <row r="18" ht="15.75" customHeight="1" spans="1:25" x14ac:dyDescent="0.25">
      <c r="A18" s="46" t="s">
        <v>74</v>
      </c>
      <c r="B18" s="46"/>
      <c r="C18" s="46"/>
      <c r="D18" s="46"/>
      <c r="E18" s="72" t="str">
        <f>Лист1!B10</f>
        <v>ООО «Резонанс-Энерго»</v>
      </c>
      <c r="F18" s="72"/>
      <c r="G18" s="72"/>
      <c r="H18" s="72"/>
      <c r="I18" s="72"/>
      <c r="J18" s="72"/>
      <c r="K18" s="72"/>
      <c r="P18" s="73"/>
      <c r="Q18" s="73"/>
      <c r="R18" s="73"/>
      <c r="S18" s="73"/>
      <c r="T18" s="73"/>
      <c r="U18" s="73"/>
      <c r="V18" s="73"/>
      <c r="W18" s="73"/>
      <c r="X18" s="73"/>
      <c r="Y18" s="73"/>
    </row>
    <row r="19" ht="15.75" customHeight="1" spans="1:11" x14ac:dyDescent="0.25">
      <c r="A19" s="46" t="s">
        <v>75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</row>
    <row r="20" ht="15.75" customHeight="1" spans="2:25" x14ac:dyDescent="0.25">
      <c r="B20" s="46" t="s">
        <v>134</v>
      </c>
      <c r="C20" s="46"/>
      <c r="D20" s="46"/>
      <c r="E20" s="46"/>
      <c r="F20" s="46"/>
      <c r="G20" s="46"/>
      <c r="H20" s="46"/>
      <c r="I20" s="46"/>
      <c r="J20" s="46"/>
      <c r="K20" s="46"/>
      <c r="P20" s="73"/>
      <c r="Q20" s="73"/>
      <c r="R20" s="73"/>
      <c r="S20" s="73"/>
      <c r="T20" s="73"/>
      <c r="U20" s="73"/>
      <c r="V20" s="73"/>
      <c r="W20" s="73"/>
      <c r="X20" s="73"/>
      <c r="Y20" s="73"/>
    </row>
    <row r="21" ht="15.75" customHeight="1" x14ac:dyDescent="0.25"/>
    <row r="22" ht="15.75" customHeight="1" spans="1:11" x14ac:dyDescent="0.25">
      <c r="A22" s="59" t="s">
        <v>135</v>
      </c>
      <c r="B22" s="59"/>
      <c r="C22" s="59"/>
      <c r="D22" s="59"/>
      <c r="E22" s="59"/>
      <c r="F22" s="60" t="str">
        <f>Лист1!B6</f>
        <v>ГНБ № 10-1С</v>
      </c>
      <c r="G22" s="60"/>
      <c r="H22" s="60"/>
      <c r="I22" s="60"/>
      <c r="J22" s="60"/>
      <c r="K22" s="60"/>
    </row>
    <row r="23" ht="15.75" customHeight="1" spans="1:11" x14ac:dyDescent="0.25">
      <c r="A23" s="63" t="s">
        <v>136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ht="15.75" customHeight="1" spans="2:25" x14ac:dyDescent="0.25">
      <c r="B24" s="46" t="s">
        <v>80</v>
      </c>
      <c r="C24" s="46"/>
      <c r="D24" s="46"/>
      <c r="E24" s="46"/>
      <c r="F24" s="72" t="str">
        <f>Лист1!B7</f>
        <v>ИМ-19-4-Р-3.2Э-ЗП2</v>
      </c>
      <c r="G24" s="72"/>
      <c r="H24" s="72"/>
      <c r="I24" s="72"/>
      <c r="J24" s="72"/>
      <c r="K24" s="72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ht="15.75" customHeight="1" spans="2:11" x14ac:dyDescent="0.25">
      <c r="B25" s="74" t="s">
        <v>137</v>
      </c>
      <c r="C25" s="61"/>
      <c r="D25" s="61"/>
      <c r="E25" s="61"/>
      <c r="F25" s="61"/>
      <c r="G25" s="61"/>
      <c r="H25" s="61"/>
      <c r="I25" s="61"/>
      <c r="J25" s="61"/>
      <c r="K25" s="61"/>
    </row>
    <row r="26" ht="15.75" customHeight="1" spans="1:11" x14ac:dyDescent="0.25">
      <c r="A26" s="72" t="str">
        <f>Лист1!B16</f>
        <v>АО "МОСИНЖПРОЕКТ"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</row>
    <row r="27" ht="15.75" customHeight="1" spans="1:11" x14ac:dyDescent="0.25">
      <c r="A27" s="75" t="s">
        <v>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ht="15.75" customHeight="1" spans="2:11" x14ac:dyDescent="0.25">
      <c r="B28" s="46" t="s">
        <v>139</v>
      </c>
      <c r="C28" s="46"/>
      <c r="D28" s="46"/>
      <c r="E28" s="46"/>
      <c r="F28" s="46"/>
      <c r="G28" s="46"/>
      <c r="H28" s="46"/>
      <c r="I28" s="46"/>
      <c r="J28" s="46"/>
      <c r="K28" s="46"/>
    </row>
    <row r="29" ht="15.75" customHeight="1" spans="1:11" x14ac:dyDescent="0.25">
      <c r="A29" s="72" t="s">
        <v>140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</row>
    <row r="30" ht="15.75" customHeight="1" spans="1:11" x14ac:dyDescent="0.25">
      <c r="A30" s="63" t="s">
        <v>141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ht="15.75" customHeight="1" spans="2:11" x14ac:dyDescent="0.25">
      <c r="B31" s="46" t="s">
        <v>83</v>
      </c>
      <c r="C31" s="46"/>
      <c r="D31" s="46"/>
      <c r="E31" s="46" t="str">
        <f>Лист1!B8</f>
        <v>01.06.2024 г.</v>
      </c>
      <c r="F31" s="46"/>
      <c r="G31" s="46"/>
      <c r="H31" s="46"/>
      <c r="I31" s="46"/>
      <c r="J31" s="46"/>
      <c r="K31" s="46"/>
    </row>
    <row r="32" ht="15.75" customHeight="1" x14ac:dyDescent="0.25"/>
    <row r="33" ht="15.75" customHeight="1" spans="2:11" x14ac:dyDescent="0.25">
      <c r="B33" s="46" t="s">
        <v>84</v>
      </c>
      <c r="C33" s="46"/>
      <c r="D33" s="46"/>
      <c r="E33" s="46" t="str">
        <f>Лист1!B9</f>
        <v>03.06.2024 г.</v>
      </c>
      <c r="F33" s="46"/>
      <c r="G33" s="46"/>
      <c r="H33" s="46"/>
      <c r="I33" s="46"/>
      <c r="J33" s="46"/>
      <c r="K33" s="46"/>
    </row>
    <row r="34" ht="15.75" customHeight="1" x14ac:dyDescent="0.25"/>
    <row r="35" ht="15.75" customHeight="1" spans="1:11" x14ac:dyDescent="0.25">
      <c r="A35" s="76" t="s">
        <v>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</row>
    <row r="36" ht="15.75" customHeight="1" x14ac:dyDescent="0.25"/>
    <row r="37" ht="15.75" customHeight="1" spans="2:11" x14ac:dyDescent="0.25">
      <c r="B37" s="46" t="s">
        <v>142</v>
      </c>
      <c r="C37" s="46"/>
      <c r="D37" s="46"/>
      <c r="E37" s="46"/>
      <c r="F37" s="46"/>
      <c r="G37" s="46"/>
      <c r="H37" s="46"/>
      <c r="I37" s="46"/>
      <c r="J37" s="46"/>
      <c r="K37" s="46"/>
    </row>
    <row r="38" ht="15.75" customHeight="1" spans="1:4" x14ac:dyDescent="0.25">
      <c r="A38" s="46" t="s">
        <v>143</v>
      </c>
      <c r="B38" s="46"/>
      <c r="C38" s="46"/>
      <c r="D38" s="46"/>
    </row>
    <row r="39" ht="15.75" customHeight="1" spans="2:11" x14ac:dyDescent="0.25">
      <c r="B39" s="46" t="s">
        <v>144</v>
      </c>
      <c r="C39" s="46"/>
      <c r="D39" s="46"/>
      <c r="E39" s="46"/>
      <c r="F39" s="46"/>
      <c r="G39" s="46"/>
      <c r="H39" s="46"/>
      <c r="I39" s="46"/>
      <c r="J39" s="46"/>
      <c r="K39" s="46"/>
    </row>
    <row r="40" ht="15.75" customHeight="1" spans="1:11" x14ac:dyDescent="0.25">
      <c r="A40" s="72" t="s">
        <v>145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</row>
    <row r="41" ht="15.75" customHeight="1" x14ac:dyDescent="0.25"/>
    <row r="42" ht="15.75" customHeight="1" spans="1:11" x14ac:dyDescent="0.25">
      <c r="A42" s="61"/>
      <c r="B42" s="46" t="str">
        <f>Лист1!B20</f>
        <v>Представитель ЮРЭС АО "ОЭК" </v>
      </c>
      <c r="C42" s="46"/>
      <c r="D42" s="46"/>
      <c r="E42" s="46"/>
      <c r="F42" s="46"/>
      <c r="G42" s="46"/>
      <c r="H42" s="46"/>
      <c r="I42" s="46"/>
      <c r="J42" s="46"/>
      <c r="K42" s="61"/>
    </row>
    <row r="43" ht="15.75" customHeight="1" spans="2:2" x14ac:dyDescent="0.25">
      <c r="B43" s="61" t="str">
        <f>Лист1!B23</f>
        <v>Представитель Южного РЭС АО "ОЭК" и АО "ОЭК"</v>
      </c>
    </row>
    <row r="44" ht="15.75" customHeight="1" spans="2:10" x14ac:dyDescent="0.25">
      <c r="B44" s="46" t="str">
        <f>Лист1!B21</f>
        <v>Начальник участка ООО «Резонанс-Энерго» Борков Е.А</v>
      </c>
      <c r="C44" s="46"/>
      <c r="D44" s="46"/>
      <c r="E44" s="46"/>
      <c r="F44" s="46"/>
      <c r="G44" s="46"/>
      <c r="H44" s="46"/>
      <c r="I44" s="46"/>
      <c r="J44" s="46"/>
    </row>
    <row r="45" ht="15.75" customHeight="1" spans="1:11" x14ac:dyDescent="0.25">
      <c r="A45" s="61"/>
      <c r="B45" s="46" t="str">
        <f>Лист1!B22</f>
        <v> </v>
      </c>
      <c r="C45" s="46"/>
      <c r="D45" s="46"/>
      <c r="E45" s="46"/>
      <c r="F45" s="46"/>
      <c r="G45" s="46"/>
      <c r="H45" s="46"/>
      <c r="I45" s="46"/>
      <c r="J45" s="46"/>
      <c r="K45" s="61"/>
    </row>
    <row r="46" ht="15.75" customHeight="1" spans="2:10" x14ac:dyDescent="0.25">
      <c r="B46" s="46"/>
      <c r="C46" s="46"/>
      <c r="D46" s="46"/>
      <c r="E46" s="46"/>
      <c r="F46" s="46"/>
      <c r="G46" s="46"/>
      <c r="H46" s="46"/>
      <c r="I46" s="46"/>
      <c r="J46" s="46"/>
    </row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37:K37"/>
    <mergeCell ref="A38:D38"/>
    <mergeCell ref="B39:K39"/>
    <mergeCell ref="A40:K40"/>
    <mergeCell ref="B42:J42"/>
    <mergeCell ref="B44:J44"/>
    <mergeCell ref="B45:J45"/>
    <mergeCell ref="B46:J4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40.5" customHeight="1" spans="2:11" x14ac:dyDescent="0.25">
      <c r="B3" s="15" t="s">
        <v>56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146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75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76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147</v>
      </c>
      <c r="B17" s="26"/>
      <c r="C17" s="25"/>
      <c r="D17" s="28"/>
      <c r="E17" s="28"/>
      <c r="F17" s="29" t="str">
        <f>Лист1!B6</f>
        <v>ГНБ № 10-1С</v>
      </c>
      <c r="G17" s="29"/>
      <c r="H17" s="29"/>
      <c r="I17" s="20" t="s">
        <v>78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79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80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81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8.5" customHeight="1" spans="1:26" x14ac:dyDescent="0.25">
      <c r="A22" s="20" t="s">
        <v>113</v>
      </c>
      <c r="B22" s="20"/>
      <c r="C22" s="25"/>
      <c r="D22" s="36"/>
      <c r="E22" s="57" t="str">
        <f>Лист1!B26</f>
        <v>Труба "ПЭ тип "С" 110*6,3 техническая (L012) (паспорт  качества от 23.08.2021г.)</v>
      </c>
      <c r="F22" s="57"/>
      <c r="G22" s="57"/>
      <c r="H22" s="57"/>
      <c r="I22" s="57"/>
      <c r="J22" s="57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3"/>
      <c r="B23" s="33"/>
      <c r="C23" s="25"/>
      <c r="D23" s="35"/>
      <c r="E23" s="13"/>
      <c r="F23" s="13"/>
      <c r="G23" s="35"/>
      <c r="H23" s="25"/>
      <c r="I23" s="25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83</v>
      </c>
      <c r="B24" s="33"/>
      <c r="C24" s="25"/>
      <c r="D24" s="37" t="str">
        <f>Лист1!B8</f>
        <v>01.06.2024 г.</v>
      </c>
      <c r="E24" s="37"/>
      <c r="F24" s="37"/>
      <c r="G24" s="35"/>
      <c r="H24" s="13"/>
      <c r="I24" s="13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13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84</v>
      </c>
      <c r="B26" s="33"/>
      <c r="C26" s="25"/>
      <c r="D26" s="37" t="str">
        <f>Лист1!B9</f>
        <v>03.06.2024 г.</v>
      </c>
      <c r="E26" s="37"/>
      <c r="F26" s="37"/>
      <c r="G26" s="26"/>
      <c r="H26" s="26"/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3" t="s">
        <v>85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20" t="s">
        <v>86</v>
      </c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0" t="s">
        <v>114</v>
      </c>
      <c r="B30" s="33"/>
      <c r="C30" s="25"/>
      <c r="D30" s="26"/>
      <c r="E30" s="28"/>
      <c r="F30" s="28"/>
      <c r="G30" s="28"/>
      <c r="H30" s="33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33"/>
      <c r="B31" s="33"/>
      <c r="C31" s="25"/>
      <c r="D31" s="26"/>
      <c r="E31" s="36"/>
      <c r="F31" s="36"/>
      <c r="G31" s="36"/>
      <c r="H31" s="33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33"/>
      <c r="B32" s="33"/>
      <c r="C32" s="25"/>
      <c r="D32" s="26"/>
      <c r="E32" s="26"/>
      <c r="F32" s="26"/>
      <c r="G32" s="26"/>
      <c r="H32" s="26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x14ac:dyDescent="0.25"/>
    <row r="34" ht="15.75" customHeight="1" x14ac:dyDescent="0.25"/>
    <row r="35" ht="15.75" customHeight="1" spans="1:9" x14ac:dyDescent="0.25">
      <c r="A35" s="20" t="str">
        <f>Лист1!C20</f>
        <v>Представитель Южного РЭС АО "ОЭК" ____________________</v>
      </c>
      <c r="C35" s="20"/>
      <c r="D35" s="20"/>
      <c r="E35" s="20"/>
      <c r="F35" s="20"/>
      <c r="G35" s="20"/>
      <c r="H35" s="20"/>
      <c r="I35" s="20"/>
    </row>
    <row r="36" ht="15.7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 t="str">
        <f>Лист1!C21</f>
        <v>Начальник участка ООО «Резонанс-Энерго» ______________________Борков Е.А</v>
      </c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16.7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54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72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.75" customHeight="1" spans="2:11" x14ac:dyDescent="0.25">
      <c r="B3" s="15" t="s">
        <v>56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57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148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60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5" t="str">
        <f>Лист1!B22</f>
        <v> </v>
      </c>
      <c r="B13" s="23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74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75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76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149</v>
      </c>
      <c r="B17" s="26"/>
      <c r="C17" s="25"/>
      <c r="D17" s="28"/>
      <c r="E17" s="29" t="str">
        <f>Лист1!B6</f>
        <v>ГНБ № 10-1С</v>
      </c>
      <c r="F17" s="29"/>
      <c r="G17" s="29"/>
      <c r="H17" s="20" t="s">
        <v>150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79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77" t="s">
        <v>151</v>
      </c>
      <c r="B20" s="77"/>
      <c r="C20" s="77"/>
      <c r="D20" s="28"/>
      <c r="E20" s="78">
        <f>Лист1!H31</f>
        <v>6.60923076923077</v>
      </c>
      <c r="F20" s="78"/>
      <c r="G20" s="25"/>
      <c r="H20" s="25"/>
      <c r="I20" s="28"/>
      <c r="J20" s="28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28"/>
      <c r="I21" s="28"/>
      <c r="J21" s="28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20" t="s">
        <v>152</v>
      </c>
      <c r="B22" s="20"/>
      <c r="C22" s="25"/>
      <c r="D22" s="29" t="str">
        <f>Лист1!B16</f>
        <v>АО "МОСИНЖПРОЕКТ"</v>
      </c>
      <c r="E22" s="29"/>
      <c r="F22" s="29"/>
      <c r="G22" s="35" t="s">
        <v>81</v>
      </c>
      <c r="H22" s="31" t="str">
        <f>Лист1!B7</f>
        <v>ИМ-19-4-Р-3.2Э-ЗП2</v>
      </c>
      <c r="I22" s="28"/>
      <c r="J22" s="28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20"/>
      <c r="B23" s="20"/>
      <c r="C23" s="25"/>
      <c r="D23" s="36"/>
      <c r="E23" s="36"/>
      <c r="F23" s="36"/>
      <c r="G23" s="35"/>
      <c r="H23" s="36"/>
      <c r="I23" s="36"/>
      <c r="J23" s="3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5.5" customHeight="1" spans="1:26" x14ac:dyDescent="0.25">
      <c r="A24" s="20" t="s">
        <v>153</v>
      </c>
      <c r="B24" s="20"/>
      <c r="C24" s="25"/>
      <c r="D24" s="36"/>
      <c r="E24" s="50" t="str">
        <f>Лист1!B26</f>
        <v>Труба "ПЭ тип "С" 110*6,3 техническая (L012) (паспорт  качества от 23.08.2021г.)</v>
      </c>
      <c r="F24" s="50"/>
      <c r="G24" s="50"/>
      <c r="H24" s="50"/>
      <c r="I24" s="50"/>
      <c r="J24" s="50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35"/>
      <c r="E25" s="13"/>
      <c r="F25" s="13"/>
      <c r="G25" s="35"/>
      <c r="H25" s="25"/>
      <c r="I25" s="25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123</v>
      </c>
      <c r="B26" s="33"/>
      <c r="C26" s="25"/>
      <c r="D26" s="29" t="str">
        <f>Лист1!B8</f>
        <v>01.06.2024 г.</v>
      </c>
      <c r="E26" s="29"/>
      <c r="F26" s="29"/>
      <c r="G26" s="35"/>
      <c r="H26" s="13"/>
      <c r="I26" s="13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13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124</v>
      </c>
      <c r="B28" s="33"/>
      <c r="C28" s="25"/>
      <c r="D28" s="29" t="str">
        <f>Лист1!B9</f>
        <v>03.06.2024 г.</v>
      </c>
      <c r="E28" s="29"/>
      <c r="F28" s="29"/>
      <c r="G28" s="26"/>
      <c r="H28" s="26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3" t="s">
        <v>85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20" t="s">
        <v>86</v>
      </c>
      <c r="B31" s="33"/>
      <c r="C31" s="25"/>
      <c r="D31" s="26"/>
      <c r="E31" s="26"/>
      <c r="F31" s="26"/>
      <c r="G31" s="26"/>
      <c r="H31" s="26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20" t="s">
        <v>154</v>
      </c>
      <c r="B32" s="33"/>
      <c r="C32" s="25"/>
      <c r="D32" s="26"/>
      <c r="E32" s="28"/>
      <c r="F32" s="28"/>
      <c r="G32" s="28"/>
      <c r="H32" s="33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spans="1:26" x14ac:dyDescent="0.25">
      <c r="A33" s="33"/>
      <c r="B33" s="33"/>
      <c r="C33" s="25"/>
      <c r="D33" s="26"/>
      <c r="E33" s="36"/>
      <c r="F33" s="36"/>
      <c r="G33" s="36"/>
      <c r="H33" s="33"/>
      <c r="I33" s="26"/>
      <c r="J33" s="26"/>
      <c r="K33" s="26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 spans="1:26" x14ac:dyDescent="0.25">
      <c r="A34" s="33"/>
      <c r="B34" s="33"/>
      <c r="C34" s="25"/>
      <c r="D34" s="26"/>
      <c r="E34" s="26"/>
      <c r="F34" s="26"/>
      <c r="G34" s="26"/>
      <c r="H34" s="26"/>
      <c r="I34" s="26"/>
      <c r="J34" s="26"/>
      <c r="K34" s="26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 x14ac:dyDescent="0.25"/>
    <row r="36" ht="15.75" customHeight="1" x14ac:dyDescent="0.25"/>
    <row r="37" ht="15.75" customHeight="1" spans="1:9" x14ac:dyDescent="0.25">
      <c r="A37" s="20" t="str">
        <f>Лист1!C20</f>
        <v>Представитель Южного РЭС АО "ОЭК" ____________________</v>
      </c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 t="str">
        <f>Лист1!C21</f>
        <v>Начальник участка ООО «Резонанс-Энерго» ______________________Борков Е.А</v>
      </c>
      <c r="C39" s="20"/>
      <c r="D39" s="20"/>
      <c r="E39" s="20"/>
      <c r="F39" s="20"/>
      <c r="G39" s="20"/>
      <c r="H39" s="20"/>
      <c r="I39" s="20"/>
    </row>
    <row r="40" ht="15.75" customHeight="1" spans="1:9" x14ac:dyDescent="0.25">
      <c r="A40" s="20"/>
      <c r="C40" s="20"/>
      <c r="D40" s="20"/>
      <c r="E40" s="20"/>
      <c r="F40" s="20"/>
      <c r="G40" s="20"/>
      <c r="H40" s="20"/>
      <c r="I40" s="20"/>
    </row>
    <row r="41" ht="15.75" customHeight="1" spans="1:9" x14ac:dyDescent="0.25">
      <c r="A41" s="20"/>
      <c r="C41" s="20"/>
      <c r="D41" s="20"/>
      <c r="E41" s="20"/>
      <c r="F41" s="20"/>
      <c r="G41" s="20"/>
      <c r="H41" s="20"/>
      <c r="I41" s="20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2" max="2" width="9.7" customWidth="1"/>
    <col min="3" max="3" width="9.14" customWidth="1"/>
    <col min="4" max="4" width="1.56" customWidth="1"/>
    <col min="5" max="5" width="9.14" customWidth="1"/>
    <col min="6" max="6" width="7.7" customWidth="1"/>
    <col min="7" max="7" width="13.15" customWidth="1"/>
    <col min="8" max="8" width="7.28" customWidth="1"/>
    <col min="9" max="9" width="23.99" customWidth="1"/>
    <col min="10" max="10" width="10.13" customWidth="1"/>
    <col min="11" max="11" width="31.15" customWidth="1"/>
    <col min="12" max="12" width="9.14" customWidth="1"/>
  </cols>
  <sheetData>
    <row r="1" ht="13.5" customHeight="1" spans="1:257" x14ac:dyDescent="0.25">
      <c r="A1" s="25"/>
      <c r="B1" s="12" t="s">
        <v>54</v>
      </c>
      <c r="C1" s="13" t="str">
        <f>Лист1!B14</f>
        <v>ГКУ «УДМС»</v>
      </c>
      <c r="D1" s="13"/>
      <c r="E1" s="13"/>
      <c r="F1" s="17"/>
      <c r="G1" s="14"/>
      <c r="H1" s="13"/>
      <c r="I1" s="13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</row>
    <row r="2" ht="13.5" customHeight="1" spans="1:257" x14ac:dyDescent="0.25">
      <c r="A2" s="25"/>
      <c r="B2" s="12" t="s">
        <v>72</v>
      </c>
      <c r="C2" s="13" t="str">
        <f>Лист1!B15</f>
        <v>ООО «Резонанс-Энерго»</v>
      </c>
      <c r="D2" s="13"/>
      <c r="E2" s="13"/>
      <c r="F2" s="17"/>
      <c r="G2" s="14"/>
      <c r="H2" s="13"/>
      <c r="I2" s="13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</row>
    <row r="3" ht="59.25" customHeight="1" spans="1:257" x14ac:dyDescent="0.25">
      <c r="A3" s="25"/>
      <c r="B3" s="15" t="s">
        <v>56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79"/>
      <c r="K3" s="79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ht="13.5" customHeight="1" spans="1:257" x14ac:dyDescent="0.25">
      <c r="A4" s="25"/>
      <c r="B4" s="15" t="s">
        <v>57</v>
      </c>
      <c r="C4" s="17" t="str">
        <f>Лист1!B11</f>
        <v>03.06.2024 г.</v>
      </c>
      <c r="D4" s="17"/>
      <c r="E4" s="17"/>
      <c r="F4" s="15"/>
      <c r="G4" s="80"/>
      <c r="H4" s="80"/>
      <c r="I4" s="80"/>
      <c r="J4" s="19"/>
      <c r="K4" s="19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</row>
    <row r="5" ht="15.75" customHeight="1" x14ac:dyDescent="0.25"/>
    <row r="6" ht="15.75" customHeight="1" spans="1:11" x14ac:dyDescent="0.25">
      <c r="A6" s="23" t="s">
        <v>155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11" x14ac:dyDescent="0.25">
      <c r="A7" s="23" t="s">
        <v>156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ht="15.75" customHeight="1" spans="1:26" x14ac:dyDescent="0.25">
      <c r="A8" s="25" t="s">
        <v>157</v>
      </c>
      <c r="B8" s="25"/>
      <c r="C8" s="28" t="str">
        <f>Лист1!B6</f>
        <v>ГНБ № 10-1С</v>
      </c>
      <c r="D8" s="25"/>
      <c r="E8" s="25"/>
      <c r="G8" s="25"/>
      <c r="H8" s="25"/>
      <c r="I8" s="25"/>
      <c r="J8" s="25"/>
      <c r="K8" s="25"/>
      <c r="P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11" x14ac:dyDescent="0.25">
      <c r="A9" s="20" t="s">
        <v>158</v>
      </c>
      <c r="B9" s="81"/>
      <c r="C9" s="28" t="str">
        <f>Лист1!B5</f>
        <v>По адресу: г. Москва, ул. Кантемировская, д.60</v>
      </c>
      <c r="D9" s="81"/>
      <c r="E9" s="81"/>
      <c r="F9" s="81"/>
      <c r="G9" s="81"/>
      <c r="H9" s="81"/>
      <c r="I9" s="81"/>
      <c r="J9" s="81"/>
      <c r="K9" s="81"/>
    </row>
    <row r="10" ht="15.75" customHeight="1" spans="1:1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ht="15.75" customHeight="1" spans="1:11" x14ac:dyDescent="0.25">
      <c r="A11" s="82" t="str">
        <f>Лист1!A31</f>
        <v>ГНБ № 10-1С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</row>
    <row r="12" ht="15.75" customHeight="1" spans="1:11" x14ac:dyDescent="0.25">
      <c r="A12" s="83" t="s">
        <v>159</v>
      </c>
      <c r="B12" s="84" t="s">
        <v>160</v>
      </c>
      <c r="C12" s="84"/>
      <c r="D12" s="84"/>
      <c r="E12" s="84"/>
      <c r="F12" s="84"/>
      <c r="G12" s="84"/>
      <c r="H12" s="84"/>
      <c r="I12" s="84"/>
      <c r="J12" s="82" t="s">
        <v>161</v>
      </c>
      <c r="K12" s="82" t="s">
        <v>162</v>
      </c>
    </row>
    <row r="13" ht="29.25" customHeight="1" spans="1:11" x14ac:dyDescent="0.25">
      <c r="A13" s="85">
        <v>1</v>
      </c>
      <c r="B13" s="86" t="s">
        <v>163</v>
      </c>
      <c r="C13" s="87" t="str">
        <f>Лист1!B26</f>
        <v>Труба "ПЭ тип "С" 110*6,3 техническая (L012) (паспорт  качества от 23.08.2021г.)</v>
      </c>
      <c r="D13" s="87"/>
      <c r="E13" s="87"/>
      <c r="F13" s="87"/>
      <c r="G13" s="87"/>
      <c r="H13" s="87"/>
      <c r="I13" s="87"/>
      <c r="J13" s="88" t="s">
        <v>164</v>
      </c>
      <c r="K13" s="89">
        <f>Лист1!E31</f>
        <v>85.92</v>
      </c>
    </row>
    <row r="14" ht="15.75" customHeight="1" spans="1:11" x14ac:dyDescent="0.25">
      <c r="A14" s="90">
        <v>2</v>
      </c>
      <c r="B14" s="91" t="s">
        <v>165</v>
      </c>
      <c r="C14" s="91"/>
      <c r="D14" s="91"/>
      <c r="E14" s="91"/>
      <c r="F14" s="91"/>
      <c r="G14" s="91"/>
      <c r="H14" s="91"/>
      <c r="I14" s="91"/>
      <c r="J14" s="92" t="s">
        <v>164</v>
      </c>
      <c r="K14" s="89">
        <f>K13</f>
        <v>85.92</v>
      </c>
    </row>
    <row r="15" ht="13.5" customHeight="1" spans="1:26" x14ac:dyDescent="0.25">
      <c r="A15" s="85">
        <v>3</v>
      </c>
      <c r="B15" s="93" t="s">
        <v>166</v>
      </c>
      <c r="C15" s="87" t="str">
        <f>Лист1!B27</f>
        <v> d=110 мм.</v>
      </c>
      <c r="D15" s="87"/>
      <c r="E15" s="87"/>
      <c r="F15" s="87"/>
      <c r="G15" s="87"/>
      <c r="H15" s="87"/>
      <c r="I15" s="87"/>
      <c r="J15" s="88" t="s">
        <v>167</v>
      </c>
      <c r="K15" s="94">
        <f>Лист1!D31*2</f>
        <v>4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 spans="1:1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15.75" customHeight="1" spans="16:25" x14ac:dyDescent="0.25"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5.75" customHeight="1" spans="1:2" x14ac:dyDescent="0.25">
      <c r="A18" s="25"/>
      <c r="B18" s="25"/>
    </row>
    <row r="19" ht="15.75" customHeight="1" spans="1:1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ht="15.75" customHeight="1" spans="1:11" x14ac:dyDescent="0.25">
      <c r="A20" s="25" t="str">
        <f>Лист1!C23</f>
        <v> 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ht="15.75" customHeight="1" spans="1:2" x14ac:dyDescent="0.25">
      <c r="A21" s="25"/>
      <c r="B21" s="25"/>
    </row>
    <row r="22" ht="15.75" customHeight="1" spans="1:11" x14ac:dyDescent="0.25">
      <c r="A22" s="25" t="str">
        <f>Лист1!C21</f>
        <v>Начальник участка ООО «Резонанс-Энерго» ______________________Борков Е.А</v>
      </c>
      <c r="B22" s="25" t="str">
        <f>CONCATENATE("Строительство ",Лист1!B6," методом ГНБ")</f>
        <v>Строительство ГНБ № 10-1С методом ГНБ</v>
      </c>
      <c r="C22" s="25"/>
      <c r="D22" s="25"/>
      <c r="E22" s="25"/>
      <c r="F22" s="25"/>
      <c r="G22" s="25"/>
      <c r="H22" s="25"/>
      <c r="I22" s="25"/>
      <c r="J22" s="25"/>
      <c r="K22" s="25"/>
    </row>
    <row r="23" ht="15.75" customHeight="1" spans="1:1" x14ac:dyDescent="0.25">
      <c r="A23" s="25"/>
    </row>
    <row r="24" ht="15.75" customHeight="1" spans="1:11" x14ac:dyDescent="0.25">
      <c r="A24" s="25" t="str">
        <f>Лист1!C20</f>
        <v>Представитель Южного РЭС АО "ОЭК" ____________________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ht="15.75" customHeight="1" x14ac:dyDescent="0.25"/>
    <row r="26" ht="15.75" customHeight="1" spans="2:1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ht="15.75" customHeight="1" spans="1:4" x14ac:dyDescent="0.25">
      <c r="A27" s="25"/>
      <c r="B27" s="25"/>
      <c r="C27" s="25"/>
      <c r="D27" s="25"/>
    </row>
    <row r="28" ht="15.75" customHeight="1" spans="2:1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ht="15.75" customHeight="1" spans="1:1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ht="15.75" customHeight="1" x14ac:dyDescent="0.25"/>
    <row r="31" ht="15.75" customHeight="1" spans="1:1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5.75" customHeight="1" x14ac:dyDescent="0.25"/>
    <row r="33" ht="15.75" customHeight="1" spans="1:1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5.75" customHeight="1" x14ac:dyDescent="0.25"/>
    <row r="35" ht="15.75" customHeight="1" spans="1:1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2">
    <mergeCell ref="C3:I3"/>
    <mergeCell ref="C4:E4"/>
    <mergeCell ref="G4:I4"/>
    <mergeCell ref="A6:K6"/>
    <mergeCell ref="A7:K7"/>
    <mergeCell ref="A11:K11"/>
    <mergeCell ref="B12:I12"/>
    <mergeCell ref="C13:I13"/>
    <mergeCell ref="B14:I14"/>
    <mergeCell ref="C15:I15"/>
    <mergeCell ref="P15:Z15"/>
    <mergeCell ref="P17:Y1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Лист1</vt:lpstr>
      <vt:lpstr>Разбивка</vt:lpstr>
      <vt:lpstr>Герметизация</vt:lpstr>
      <vt:lpstr>АОСР </vt:lpstr>
      <vt:lpstr>Надзор</vt:lpstr>
      <vt:lpstr>Приемка</vt:lpstr>
      <vt:lpstr>ПП</vt:lpstr>
      <vt:lpstr>Акт освид</vt:lpstr>
      <vt:lpstr>Соосность</vt:lpstr>
      <vt:lpstr>Сварка трубы</vt:lpstr>
      <vt:lpstr>Опись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2026-03-05T14:36:23Z</dcterms:created>
  <dcterms:modified xsi:type="dcterms:W3CDTF">2026-03-05T15:59:03Z</dcterms:modified>
</cp:coreProperties>
</file>