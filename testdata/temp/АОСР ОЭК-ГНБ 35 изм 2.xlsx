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Лист1" state="visible" r:id="rId4"/>
    <sheet sheetId="2" name="АОСР (1)" state="visible" r:id="rId5"/>
    <sheet sheetId="3" name="АОСР (2)" state="visible" r:id="rId6"/>
  </sheets>
  <definedNames>
    <definedName name="_xlnm.Print_Area" localSheetId="1">'АОСР (1)'!$A1:$AJ87</definedName>
    <definedName name="_xlnm.Print_Area" localSheetId="2">'АОСР (2)'!$A1:$AJ86</definedName>
  </definedNames>
  <calcPr calcId="171027"/>
</workbook>
</file>

<file path=xl/sharedStrings.xml><?xml version="1.0" encoding="utf-8"?>
<sst xmlns="http://schemas.openxmlformats.org/spreadsheetml/2006/main" count="186" uniqueCount="105">
  <si>
    <t>переход №</t>
  </si>
  <si>
    <t>35</t>
  </si>
  <si>
    <t>Lпр=</t>
  </si>
  <si>
    <t>Длина труб=</t>
  </si>
  <si>
    <t>Адрес</t>
  </si>
  <si>
    <t>г. Москва, Пресненский Вал, д. 5</t>
  </si>
  <si>
    <t>Дата начала</t>
  </si>
  <si>
    <t>февраля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</si>
  <si>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</si>
  <si>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</si>
  <si>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</si>
  <si>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</si>
  <si>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</si>
  <si>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«ПКЛ 20 кВ от РП 1-45 до ПС 220 кВ Золотаревская (786); ПКЛ 20 кВ от РП 1-45 до ПС 220 кВ Красносельская (868); РП 1-45»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</si>
  <si>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</si>
  <si>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</si>
  <si>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АО «Объединенная энергетическая компания» ОГРН 1057746394155, ИНН 7720522853, 115035, г. Москва, Раушская наб., д.8, тел. 8 (495) 657-91-01 СРО Ассоциация строительных компаний «Межрегиональный строительный комплекс», ОГРН 1097799009208, ИНН 7705048533, ОГРН undefined, ИНН undefined, , тел. undefined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</si>
  <si>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</si>
  <si>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</si>
  <si>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строительных организаций «ЭкспертСтрой»», ОГРН 1127799010668, ИНН 7708240612, ОГРН undefined, ИНН undefined, , тел. undefined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</si>
  <si>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</si>
  <si>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</si>
  <si>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проектных организаций «ЭкспертПроект»», ОГРН 1127799020480, ИНН 7707491081, ОГРН undefined, ИНН undefined, , тел. undefined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</si>
  <si>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</si>
  <si>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</si>
  <si>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</si>
  <si>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</si>
  <si>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</si>
  <si>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</si>
  <si>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</si>
  <si>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</si>
  <si>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гайдуков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</si>
  <si>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</si>
  <si>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</si>
  <si>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инженер ЦРЭС АО "ОЭК" Селиванов В.Ю.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</si>
  <si>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</si>
  <si>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</si>
  <si>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</si>
  <si>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Щеглов Р.А., Начальник участка, ООО «СПЕЦИНЖСТРОЙ», приказ №180/2 от 03.07.2024г.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</si>
  <si>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</si>
  <si>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</si>
  <si>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</si>
  <si>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</si>
  <si>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</si>
  <si>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</si>
  <si>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Долодонов В.И., Главный инженер, ООО «СПЕЦИНЖСТРОЙ», НРС № С-77-19151 от 31.05.2019, приказ №180/2 от 03.07.2024г.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</si>
  <si>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</si>
  <si>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</si>
  <si>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</si>
  <si>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</si>
  <si>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</si>
  <si>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</si>
  <si>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Проектная документация , шифр № 1146-КС-21-ЭС2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</si>
  <si>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</si>
  <si>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</si>
  <si>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</si>
  <si>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</si>
  <si>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</si>
  <si>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</si>
  <si>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</si>
  <si>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</si>
  <si>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</si>
  <si>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</si>
  <si>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</si>
  <si>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</si>
  <si>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</si>
  <si>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</si>
  <si>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</si>
  <si>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</si>
  <si>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</si>
  <si>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</si>
  <si>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Гайдуков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</si>
  <si>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</si>
  <si>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</si>
  <si>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</si>
  <si>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Селиванов В.Ю.</t>
  </si>
  <si>
    <t>Щеглов Р.А.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</si>
  <si>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</si>
  <si>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</si>
  <si>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 xml:space="preserve"> 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</si>
  <si>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</si>
  <si>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Долодонов В.И.</t>
  </si>
  <si>
    <t>приложение №3</t>
  </si>
  <si>
    <t>освидетельствования скрытых работ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</si>
  <si>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</si>
  <si>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</si>
  <si>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ООО «СПЕЦИНЖСТРОЙ»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</si>
  <si>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</si>
  <si>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</si>
  <si>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</si>
  <si>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</si>
  <si>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</si>
  <si>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 xml:space="preserve"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</si>
  <si>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</si>
  <si>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Труба ЭЛЕКТРОПАЙП 225/170 - N 1250 F2 SDR 13,6 (паспорт качества №12393 от 06.10.2025г, сертификат соответствия №РОСС RU.НВ24.АПТС Н00180/24 с 04.07.2024)</t>
  </si>
  <si>
    <t xml:space="preserve"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</si>
  <si>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</si>
  <si>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</si>
  <si>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</si>
  <si>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</si>
  <si>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</si>
  <si>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</si>
  <si>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</si>
  <si>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Прокладке кабельных линий</t>
  </si>
  <si>
    <t>(наименование работ, строительных конструкций, участков сетей инженерно-технического обеспечения)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</si>
</sst>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harset val="204"/>
      <sz val="10"/>
      <name val="Times New Roman"/>
    </font>
    <font>
      <charset val="204"/>
      <family val="1"/>
      <sz val="10"/>
      <name val="Times New Roman"/>
    </font>
    <font>
      <charset val="204"/>
      <family val="1"/>
      <sz val="11"/>
      <name val="Times New Roman"/>
    </font>
    <font>
      <charset val="204"/>
      <family val="1"/>
      <sz val="9"/>
      <name val="Times New Roman"/>
    </font>
    <font>
      <b/>
      <i/>
      <charset val="204"/>
      <family val="1"/>
      <sz val="10"/>
      <name val="Times New Roman"/>
    </font>
    <font>
      <charset val="204"/>
      <family val="1"/>
      <sz val="6"/>
      <name val="Times New Roman"/>
    </font>
    <font>
      <b/>
      <charset val="204"/>
      <family val="1"/>
      <sz val="10"/>
      <name val="Times New Roman"/>
    </font>
    <font>
      <b/>
      <charset val="204"/>
      <family val="1"/>
      <sz val="12"/>
      <name val="Times New Roman"/>
    </font>
    <font>
      <charset val="204"/>
      <family val="1"/>
      <sz val="8"/>
      <name val="Times New Roman"/>
    </font>
    <font>
      <charset val="204"/>
      <family val="2"/>
      <sz val="10"/>
      <name val="Arial"/>
    </font>
    <font>
      <charset val="204"/>
      <color rgb="FF000000"/>
      <family val="1"/>
      <sz val="10"/>
      <name val="Times New Roman"/>
    </font>
    <font>
      <b/>
      <i/>
      <charset val="1"/>
      <family val="2"/>
      <sz val="10"/>
      <name val="Tahoma"/>
    </font>
    <font>
      <b/>
      <i/>
      <charset val="1"/>
      <family val="2"/>
      <sz val="9"/>
      <name val="Tahoma"/>
    </font>
    <font>
      <i/>
      <charset val="204"/>
      <family val="1"/>
      <sz val="8"/>
      <name val="Times New Roman"/>
    </font>
    <font>
      <b/>
      <i/>
      <charset val="204"/>
      <family val="1"/>
      <sz val="11"/>
      <name val="Times New Roman"/>
    </font>
    <font>
      <charset val="204"/>
      <family val="1"/>
      <sz val="7"/>
      <name val="Times New Roman"/>
    </font>
    <font>
      <b/>
      <i/>
      <charset val="204"/>
      <family val="1"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bottom"/>
    </xf>
    <xf numFmtId="49" fontId="2" fillId="0" borderId="0" xfId="0" applyNumberFormat="1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2" fontId="1" fillId="0" borderId="0" xfId="0" applyNumberFormat="1" applyFont="1" applyAlignment="1">
      <alignment horizontal="center" vertical="bottom"/>
    </xf>
    <xf numFmtId="0" fontId="3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4" fillId="0" borderId="0" xfId="0" applyFont="1" applyAlignment="1">
      <alignment horizontal="right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vertical="bottom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bottom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8" fillId="0" borderId="0" xfId="0" applyFont="1" applyAlignment="1">
      <alignment horizontal="center" vertical="bottom"/>
    </xf>
    <xf numFmtId="0" fontId="7" fillId="0" borderId="0" xfId="0" applyFont="1" applyAlignment="1">
      <alignment horizontal="right" vertical="bottom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bottom"/>
    </xf>
    <xf numFmtId="0" fontId="5" fillId="0" borderId="1" xfId="0" applyFont="1" applyBorder="1" applyAlignment="1">
      <alignment horizontal="center" vertical="bottom"/>
    </xf>
    <xf numFmtId="0" fontId="2" fillId="0" borderId="0" xfId="0" applyFont="1" applyAlignment="1">
      <alignment horizontal="left" vertical="bottom"/>
    </xf>
    <xf numFmtId="0" fontId="9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bottom"/>
    </xf>
    <xf numFmtId="0" fontId="2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bottom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  <xf numFmtId="0" fontId="4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bottom"/>
    </xf>
    <xf numFmtId="0" fontId="12" fillId="0" borderId="0" xfId="0" applyFont="1" applyAlignment="1">
      <alignment vertical="bottom"/>
    </xf>
    <xf numFmtId="0" fontId="5" fillId="0" borderId="3" xfId="0" applyFont="1" applyBorder="1" applyAlignment="1">
      <alignment horizontal="center" vertical="bottom"/>
    </xf>
    <xf numFmtId="0" fontId="3" fillId="0" borderId="0" xfId="0" applyFont="1" applyAlignment="1">
      <alignment horizontal="left" vertical="bottom"/>
    </xf>
    <xf numFmtId="0" fontId="12" fillId="0" borderId="0" xfId="0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66"/>
  </sheetPr>
  <dimension ref="A2:E8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8.9921875" customHeight="1"/>
  <cols>
    <col min="1" max="1" width="15.65" style="1" customWidth="1"/>
    <col min="2" max="2" width="37.65" style="1" customWidth="1"/>
  </cols>
  <sheetData>
    <row r="2" ht="18" customHeight="1" spans="1:5" x14ac:dyDescent="0.25">
      <c r="A2" s="1" t="s">
        <v>0</v>
      </c>
      <c r="B2" s="2" t="s">
        <v>1</v>
      </c>
      <c r="C2" s="3"/>
      <c r="D2" s="3"/>
      <c r="E2" s="3"/>
    </row>
    <row r="3" ht="18" customHeight="1" spans="1:5" x14ac:dyDescent="0.25">
      <c r="A3" s="1" t="s">
        <v>2</v>
      </c>
      <c r="B3" s="4">
        <v>125</v>
      </c>
      <c r="C3" s="3">
        <v>2</v>
      </c>
      <c r="D3" s="3"/>
      <c r="E3" s="3"/>
    </row>
    <row r="4" ht="18" customHeight="1" spans="1:5" x14ac:dyDescent="0.25">
      <c r="A4" s="1" t="s">
        <v>3</v>
      </c>
      <c r="B4" s="4">
        <f>C3*B3</f>
        <v>0</v>
      </c>
      <c r="C4" s="3"/>
      <c r="D4" s="3"/>
      <c r="E4" s="3"/>
    </row>
    <row r="5" ht="18" customHeight="1" spans="1:5" x14ac:dyDescent="0.25">
      <c r="A5" s="1" t="s">
        <v>4</v>
      </c>
      <c r="B5" s="5" t="s">
        <v>5</v>
      </c>
      <c r="C5" s="3"/>
      <c r="D5" s="3"/>
      <c r="E5" s="3"/>
    </row>
    <row r="6" ht="18" customHeight="1" spans="1:5" x14ac:dyDescent="0.25">
      <c r="A6" s="1" t="s">
        <v>6</v>
      </c>
      <c r="B6" s="3" t="str">
        <f>CONCATENATE(C6," ",D6," ",E6)</f>
        <v>  </v>
      </c>
      <c r="C6" s="3">
        <v>12</v>
      </c>
      <c r="D6" s="6" t="s">
        <v>7</v>
      </c>
      <c r="E6" s="3">
        <v>2026</v>
      </c>
    </row>
    <row r="7" ht="18" customHeight="1" spans="1:5" x14ac:dyDescent="0.25">
      <c r="A7" s="1" t="s">
        <v>8</v>
      </c>
      <c r="B7" s="3" t="str">
        <f>CONCATENATE(C7," ",D7," ",E7)</f>
        <v>  </v>
      </c>
      <c r="C7" s="3">
        <v>26</v>
      </c>
      <c r="D7" s="6" t="s">
        <v>7</v>
      </c>
      <c r="E7" s="3">
        <v>2026</v>
      </c>
    </row>
    <row r="8" ht="18" customHeight="1" spans="1:5" x14ac:dyDescent="0.25">
      <c r="A8" s="1" t="s">
        <v>9</v>
      </c>
      <c r="B8" s="3" t="str">
        <f>CONCATENATE(C8," ",D8," ",E8)</f>
        <v>  </v>
      </c>
      <c r="C8" s="3">
        <v>26</v>
      </c>
      <c r="D8" s="6" t="s">
        <v>7</v>
      </c>
      <c r="E8" s="3">
        <v>2026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66"/>
  </sheetPr>
  <dimension ref="A1:IW89"/>
  <sheetViews>
    <sheetView workbookViewId="0" zoomScale="125" zoomScaleNormal="125" view="normal">
      <selection activeCell="A27" sqref="A27"/>
    </sheetView>
  </sheetViews>
  <sheetFormatPr defaultRowHeight="15" outlineLevelRow="0" outlineLevelCol="0" x14ac:dyDescent="0" defaultColWidth="10.65234375"/>
  <cols>
    <col min="1" max="31" width="2.82" style="5" customWidth="1"/>
    <col min="32" max="32" width="2.99" style="5" customWidth="1"/>
    <col min="33" max="51" width="2.82" style="5" customWidth="1"/>
    <col min="52" max="257" width="10.65" style="5" customWidth="1"/>
  </cols>
  <sheetData>
    <row r="1" ht="12.75" customHeight="1" spans="36:36" x14ac:dyDescent="0.25">
      <c r="AJ1" s="7" t="s">
        <v>10</v>
      </c>
    </row>
    <row r="2" ht="11.25" customHeight="1" spans="36:36" x14ac:dyDescent="0.25">
      <c r="AJ2" s="7" t="s">
        <v>11</v>
      </c>
    </row>
    <row r="3" ht="12" customHeight="1" spans="1:43" x14ac:dyDescent="0.25">
      <c r="A3" s="8" t="s">
        <v>12</v>
      </c>
      <c r="AJ3" s="9"/>
      <c r="AK3" s="9"/>
      <c r="AL3" s="9"/>
      <c r="AM3" s="9"/>
      <c r="AN3" s="9"/>
      <c r="AO3" s="9"/>
      <c r="AP3" s="9"/>
      <c r="AQ3" s="9"/>
    </row>
    <row r="4" ht="29.25" customHeight="1" spans="1:36" x14ac:dyDescent="0.25">
      <c r="A4" s="10" t="s">
        <v>13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0.5" customHeight="1" spans="1:36" x14ac:dyDescent="0.25">
      <c r="A5" s="11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ht="23.25" customHeight="1" spans="1:36" x14ac:dyDescent="0.25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ht="40.5" customHeight="1" spans="1:36" x14ac:dyDescent="0.25">
      <c r="A7" s="10" t="s">
        <v>16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40.5" customHeight="1" spans="1:36" x14ac:dyDescent="0.25">
      <c r="A8" s="11" t="s">
        <v>17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ht="12" customHeight="1" spans="1:1" x14ac:dyDescent="0.25">
      <c r="A9" s="8" t="s">
        <v>18</v>
      </c>
    </row>
    <row r="10" ht="51.75" customHeight="1" spans="1:36" x14ac:dyDescent="0.25">
      <c r="A10" s="10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42" customHeight="1" spans="1:36" x14ac:dyDescent="0.25">
      <c r="A11" s="11" t="s">
        <v>20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ht="15.75" customHeight="1" spans="1:1" x14ac:dyDescent="0.25">
      <c r="A12" s="8" t="s">
        <v>21</v>
      </c>
    </row>
    <row r="13" ht="43.5" customHeight="1" spans="1:36" x14ac:dyDescent="0.25">
      <c r="A13" s="10" t="s">
        <v>22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7.75" customHeight="1" spans="1:36" x14ac:dyDescent="0.25">
      <c r="A14" s="11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ht="10.5" customHeight="1" spans="1:36" x14ac:dyDescent="0.25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ht="12.75" customHeight="1" spans="1:36" x14ac:dyDescent="0.25">
      <c r="A16" s="14" t="s">
        <v>25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ht="3.75" customHeight="1" spans="1:1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2.75" customHeight="1" spans="1:36" x14ac:dyDescent="0.25">
      <c r="A18" s="16"/>
      <c r="B18" s="16" t="s">
        <v>26</v>
      </c>
      <c r="C18" s="17" t="str">
        <f>CONCATENATE("1 (ЗП ГНБ №",Лист1!B2,")")</f>
        <v>1 (ЗП ГНБ №)</v>
      </c>
      <c r="D18" s="17"/>
      <c r="E18" s="17"/>
      <c r="F18" s="17"/>
      <c r="G18" s="17"/>
      <c r="H18" s="17"/>
      <c r="I18" s="17"/>
      <c r="J18" s="17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8" t="s">
        <v>27</v>
      </c>
      <c r="Y18" s="19">
        <f>Лист1!C6</f>
        <v>0</v>
      </c>
      <c r="Z18" s="19"/>
      <c r="AA18" s="8" t="s">
        <v>27</v>
      </c>
      <c r="AB18" s="19">
        <f>Лист1!D6</f>
        <v>0</v>
      </c>
      <c r="AC18" s="19"/>
      <c r="AD18" s="19"/>
      <c r="AE18" s="19"/>
      <c r="AF18" s="8"/>
      <c r="AG18" s="19">
        <f>Лист1!E6</f>
        <v>0</v>
      </c>
      <c r="AH18" s="19"/>
      <c r="AI18" s="19"/>
      <c r="AJ18" s="8" t="s">
        <v>28</v>
      </c>
    </row>
    <row r="19" ht="9.75" customHeight="1" spans="25:34" x14ac:dyDescent="0.25">
      <c r="Y19" s="20"/>
      <c r="Z19" s="21" t="s">
        <v>29</v>
      </c>
      <c r="AA19" s="20"/>
      <c r="AB19" s="20"/>
      <c r="AC19" s="20"/>
      <c r="AD19" s="20"/>
      <c r="AE19" s="20"/>
      <c r="AF19" s="20"/>
      <c r="AG19" s="20"/>
      <c r="AH19" s="20"/>
    </row>
    <row r="20" ht="3" customHeight="1" spans="25:34" x14ac:dyDescent="0.25"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4.75" customHeight="1" spans="1:36" x14ac:dyDescent="0.25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ht="27" customHeight="1" spans="1:36" x14ac:dyDescent="0.25">
      <c r="A22" s="22" t="s">
        <v>31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23.25" customHeight="1" spans="1:43" x14ac:dyDescent="0.25">
      <c r="A23" s="23" t="s">
        <v>32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Q23" s="24" t="s">
        <v>33</v>
      </c>
    </row>
    <row r="24" ht="12" customHeight="1" spans="1:43" x14ac:dyDescent="0.25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Q24" s="24" t="s">
        <v>35</v>
      </c>
    </row>
    <row r="25" ht="42" customHeight="1" spans="1:36" x14ac:dyDescent="0.25">
      <c r="A25" s="11" t="s">
        <v>36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ht="12" customHeight="1" spans="1:1" x14ac:dyDescent="0.25">
      <c r="A26" s="8" t="s">
        <v>37</v>
      </c>
    </row>
    <row r="27" ht="33.75" customHeight="1" spans="1:36" x14ac:dyDescent="0.25">
      <c r="A27" s="10" t="s">
        <v>38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9" customHeight="1" spans="1:36" x14ac:dyDescent="0.25">
      <c r="A28" s="11" t="s">
        <v>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ht="24.75" customHeight="1" spans="1:36" x14ac:dyDescent="0.25">
      <c r="A29" s="12" t="s">
        <v>40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ht="33.75" customHeight="1" spans="1:257" x14ac:dyDescent="0.25">
      <c r="A30" s="10" t="s">
        <v>38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ht="34.5" customHeight="1" spans="1:36" x14ac:dyDescent="0.25">
      <c r="A31" s="11" t="s">
        <v>41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ht="48" customHeight="1" spans="1:36" x14ac:dyDescent="0.25">
      <c r="A32" s="26" t="s">
        <v>42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ht="15" customHeight="1" spans="1:25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ht="21" customHeight="1" spans="1:36" x14ac:dyDescent="0.25">
      <c r="A34" s="11" t="s">
        <v>43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ht="39.75" customHeight="1" spans="1:36" x14ac:dyDescent="0.25">
      <c r="A35" s="26" t="s">
        <v>44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ht="15" customHeight="1" spans="1:36" x14ac:dyDescent="0.25">
      <c r="A36" s="27" t="s">
        <v>45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16.5" customHeight="1" spans="1:36" x14ac:dyDescent="0.25">
      <c r="A37" s="28" t="s">
        <v>46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12.75" customHeight="1" spans="1:1" x14ac:dyDescent="0.25">
      <c r="A38" s="29" t="s">
        <v>47</v>
      </c>
    </row>
    <row r="39" ht="12" customHeight="1" spans="1:36" x14ac:dyDescent="0.25">
      <c r="A39" s="30" t="str">
        <f>CONCATENATE("Закрытого перехода методом ГНБ №",Лист1!B2," по адресу: ",Лист1!B5,)</f>
        <v>Закрытого перехода методом ГНБ № по адресу: 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12" customHeight="1" spans="1:36" x14ac:dyDescent="0.25">
      <c r="A40" s="29" t="s">
        <v>48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34.5" customHeight="1" spans="1:36" x14ac:dyDescent="0.25">
      <c r="A41" s="10">
        <f>A4</f>
        <v>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10.5" customHeight="1" spans="1:36" x14ac:dyDescent="0.25">
      <c r="A42" s="11" t="s">
        <v>49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ht="12" customHeight="1" spans="1:257" x14ac:dyDescent="0.25">
      <c r="A43" s="29" t="s">
        <v>50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</row>
    <row r="44" ht="13.5" customHeight="1" spans="1:257" x14ac:dyDescent="0.25">
      <c r="A44" s="33" t="s">
        <v>51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</row>
    <row r="45" ht="13.5" customHeight="1" spans="1:257" x14ac:dyDescent="0.25">
      <c r="A45" s="30" t="s">
        <v>52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</row>
    <row r="46" ht="8.25" customHeight="1" spans="1:36" x14ac:dyDescent="0.25">
      <c r="A46" s="11" t="s">
        <v>53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ht="13.5" customHeight="1" spans="1:257" x14ac:dyDescent="0.25">
      <c r="A47" s="32" t="s">
        <v>54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0" t="s">
        <v>55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</row>
    <row r="48" ht="12" customHeight="1" spans="1:257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</row>
    <row r="49" ht="12" customHeight="1" spans="1:257" x14ac:dyDescent="0.25">
      <c r="A49" s="8" t="s">
        <v>56</v>
      </c>
      <c r="B49" s="32"/>
      <c r="C49" s="32"/>
      <c r="D49" s="32"/>
      <c r="E49" s="32"/>
      <c r="F49" s="34"/>
      <c r="G49" s="34"/>
      <c r="H49" s="34"/>
      <c r="I49" s="34"/>
      <c r="J49" s="34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</row>
    <row r="50" ht="12" customHeight="1" spans="1:257" x14ac:dyDescent="0.25">
      <c r="A50" s="8"/>
      <c r="B50" s="25"/>
      <c r="C50" s="25"/>
      <c r="D50" s="25"/>
      <c r="E50" s="25"/>
      <c r="F50" s="35"/>
      <c r="G50" s="35"/>
      <c r="H50" s="35"/>
      <c r="I50" s="35"/>
      <c r="J50" s="3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</row>
    <row r="51" ht="38.25" customHeight="1" spans="1:257" x14ac:dyDescent="0.25">
      <c r="A51" s="12" t="s">
        <v>57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</row>
    <row r="52" ht="52.5" customHeight="1" spans="1:257" x14ac:dyDescent="0.25">
      <c r="A52" s="10" t="str">
        <f>CONCATENATE(A45,", ",A41)</f>
        <v>, 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</row>
    <row r="53" ht="8.25" customHeight="1" spans="1:257" x14ac:dyDescent="0.25">
      <c r="A53" s="36" t="s">
        <v>58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</row>
    <row r="54" ht="12" customHeight="1" spans="1:257" x14ac:dyDescent="0.25">
      <c r="A54" s="30" t="s">
        <v>59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</row>
    <row r="55" ht="8.25" customHeight="1" spans="1:257" x14ac:dyDescent="0.25">
      <c r="A55" s="36" t="s">
        <v>60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</row>
    <row r="56" ht="13.5" customHeight="1" spans="1:257" x14ac:dyDescent="0.25">
      <c r="A56" s="8" t="s">
        <v>61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</row>
    <row r="57" ht="12" customHeight="1" spans="1:36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</row>
    <row r="58" ht="12" customHeight="1" spans="1:257" x14ac:dyDescent="0.25">
      <c r="A58" s="8" t="s">
        <v>62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19" t="s">
        <v>63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</row>
    <row r="59" ht="6" customHeight="1" spans="4:10" x14ac:dyDescent="0.25">
      <c r="D59" s="39"/>
      <c r="E59" s="39"/>
      <c r="F59" s="39"/>
      <c r="G59" s="39"/>
      <c r="H59" s="39"/>
      <c r="I59" s="39"/>
      <c r="J59" s="39"/>
    </row>
    <row r="60" ht="12" customHeight="1" spans="1:257" x14ac:dyDescent="0.25">
      <c r="A60" s="8" t="s">
        <v>64</v>
      </c>
      <c r="B60" s="8"/>
      <c r="C60" s="8"/>
      <c r="D60" s="8"/>
      <c r="E60" s="8"/>
      <c r="F60" s="8"/>
      <c r="G60" s="8"/>
      <c r="H60" s="40">
        <v>4</v>
      </c>
      <c r="I60" s="40"/>
      <c r="J60" s="8" t="s">
        <v>65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</row>
    <row r="61" ht="4.5" customHeight="1" x14ac:dyDescent="0.25"/>
    <row r="62" ht="12" customHeight="1" spans="1:1" x14ac:dyDescent="0.25">
      <c r="A62" s="8" t="s">
        <v>66</v>
      </c>
    </row>
    <row r="63" ht="12" customHeight="1" spans="1:36" x14ac:dyDescent="0.25">
      <c r="A63" s="41" t="str">
        <f>'АОСР (2)'!A64:AJ64</f>
        <v>1. Исполнительный чертеж ЗП № (по адресу: )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 ht="12" customHeight="1" spans="1:36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 ht="9.75" customHeight="1" spans="1:36" x14ac:dyDescent="0.25">
      <c r="A65" s="42" t="s">
        <v>67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</row>
    <row r="66" ht="4.5" customHeight="1" spans="1:36" x14ac:dyDescent="0.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ht="8.25" customHeight="1" spans="1:36" x14ac:dyDescent="0.25">
      <c r="A67" s="11" t="s">
        <v>68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ht="13.5" customHeight="1" spans="1:1" x14ac:dyDescent="0.25">
      <c r="A68" s="8" t="s">
        <v>69</v>
      </c>
    </row>
    <row r="69" ht="12" customHeight="1" spans="1:1" x14ac:dyDescent="0.25">
      <c r="A69" s="8" t="s">
        <v>70</v>
      </c>
    </row>
    <row r="70" ht="35.25" customHeight="1" spans="1:36" x14ac:dyDescent="0.25">
      <c r="A70" s="19" t="s">
        <v>71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19"/>
      <c r="AC70" s="19"/>
      <c r="AD70" s="19"/>
      <c r="AE70" s="19"/>
      <c r="AF70" s="19"/>
      <c r="AG70" s="19"/>
      <c r="AH70" s="19"/>
      <c r="AI70" s="19"/>
      <c r="AJ70" s="19"/>
    </row>
    <row r="71" ht="10.5" customHeight="1" spans="1:36" x14ac:dyDescent="0.25">
      <c r="A71" s="28" t="s">
        <v>72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45"/>
      <c r="Q71" s="45"/>
      <c r="R71" s="45"/>
      <c r="S71" s="45"/>
      <c r="T71" s="45"/>
      <c r="U71" s="46"/>
      <c r="V71" s="46"/>
      <c r="W71" s="46"/>
      <c r="X71" s="46"/>
      <c r="Y71" s="46"/>
      <c r="Z71" s="46"/>
      <c r="AA71" s="46"/>
      <c r="AB71" s="36" t="s">
        <v>73</v>
      </c>
      <c r="AC71" s="36"/>
      <c r="AD71" s="36"/>
      <c r="AE71" s="36"/>
      <c r="AF71" s="36"/>
      <c r="AG71" s="36"/>
      <c r="AH71" s="36"/>
      <c r="AI71" s="36"/>
      <c r="AJ71" s="36"/>
    </row>
    <row r="72" ht="11.25" customHeight="1" spans="1:36" x14ac:dyDescent="0.25">
      <c r="A72" s="26" t="s">
        <v>74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ht="33" customHeight="1" spans="1:36" x14ac:dyDescent="0.25">
      <c r="A73" s="19" t="s">
        <v>75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7"/>
      <c r="AC73" s="47"/>
      <c r="AD73" s="47"/>
      <c r="AE73" s="47"/>
      <c r="AF73" s="47"/>
      <c r="AG73" s="47"/>
      <c r="AH73" s="47"/>
      <c r="AI73" s="47"/>
      <c r="AJ73" s="47"/>
    </row>
    <row r="74" ht="9.75" customHeight="1" spans="1:36" x14ac:dyDescent="0.25">
      <c r="A74" s="28" t="s">
        <v>72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45"/>
      <c r="Q74" s="45"/>
      <c r="R74" s="45"/>
      <c r="S74" s="45"/>
      <c r="T74" s="45"/>
      <c r="U74" s="46"/>
      <c r="V74" s="46"/>
      <c r="W74" s="46"/>
      <c r="X74" s="46"/>
      <c r="Y74" s="46"/>
      <c r="Z74" s="46"/>
      <c r="AA74" s="46"/>
      <c r="AB74" s="36" t="s">
        <v>73</v>
      </c>
      <c r="AC74" s="36"/>
      <c r="AD74" s="36"/>
      <c r="AE74" s="36"/>
      <c r="AF74" s="36"/>
      <c r="AG74" s="36"/>
      <c r="AH74" s="36"/>
      <c r="AI74" s="36"/>
      <c r="AJ74" s="36"/>
    </row>
    <row r="75" ht="10.5" customHeight="1" spans="1:36" x14ac:dyDescent="0.25">
      <c r="A75" s="48" t="s">
        <v>37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24.75" customHeight="1" spans="1:257" x14ac:dyDescent="0.25">
      <c r="A76" s="19" t="s">
        <v>76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19"/>
      <c r="AC76" s="19"/>
      <c r="AD76" s="19"/>
      <c r="AE76" s="19"/>
      <c r="AF76" s="19"/>
      <c r="AG76" s="19"/>
      <c r="AH76" s="19"/>
      <c r="AI76" s="19"/>
      <c r="AJ76" s="19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8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8"/>
      <c r="IS76" s="48"/>
      <c r="IT76" s="48"/>
      <c r="IU76" s="48"/>
      <c r="IV76" s="48"/>
      <c r="IW76" s="48"/>
    </row>
    <row r="77" ht="9" customHeight="1" spans="1:36" x14ac:dyDescent="0.25">
      <c r="A77" s="28" t="s">
        <v>72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45"/>
      <c r="Q77" s="45"/>
      <c r="R77" s="45"/>
      <c r="S77" s="45"/>
      <c r="T77" s="45"/>
      <c r="U77" s="46"/>
      <c r="V77" s="46"/>
      <c r="W77" s="46"/>
      <c r="X77" s="46"/>
      <c r="Y77" s="46"/>
      <c r="Z77" s="46"/>
      <c r="AA77" s="46"/>
      <c r="AB77" s="36" t="s">
        <v>73</v>
      </c>
      <c r="AC77" s="36"/>
      <c r="AD77" s="36"/>
      <c r="AE77" s="36"/>
      <c r="AF77" s="36"/>
      <c r="AG77" s="36"/>
      <c r="AH77" s="36"/>
      <c r="AI77" s="36"/>
      <c r="AJ77" s="36"/>
    </row>
    <row r="78" ht="12.75" customHeight="1" spans="1:1" x14ac:dyDescent="0.25">
      <c r="A78" s="48" t="s">
        <v>77</v>
      </c>
    </row>
    <row r="79" ht="10.5" customHeight="1" spans="1:1" x14ac:dyDescent="0.25">
      <c r="A79" s="48" t="s">
        <v>78</v>
      </c>
    </row>
    <row r="80" ht="21.75" customHeight="1" spans="1:36" x14ac:dyDescent="0.25">
      <c r="A80" s="19" t="s">
        <v>76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19"/>
      <c r="AC80" s="19"/>
      <c r="AD80" s="19"/>
      <c r="AE80" s="19"/>
      <c r="AF80" s="19"/>
      <c r="AG80" s="19"/>
      <c r="AH80" s="19"/>
      <c r="AI80" s="19"/>
      <c r="AJ80" s="19"/>
    </row>
    <row r="81" ht="8.25" customHeight="1" spans="1:36" x14ac:dyDescent="0.25">
      <c r="A81" s="28" t="s">
        <v>72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45"/>
      <c r="Q81" s="45"/>
      <c r="R81" s="45"/>
      <c r="S81" s="45"/>
      <c r="T81" s="45"/>
      <c r="U81" s="46"/>
      <c r="V81" s="46"/>
      <c r="W81" s="46"/>
      <c r="X81" s="46"/>
      <c r="Y81" s="46"/>
      <c r="Z81" s="46"/>
      <c r="AA81" s="46"/>
      <c r="AB81" s="36" t="s">
        <v>73</v>
      </c>
      <c r="AC81" s="36"/>
      <c r="AD81" s="36"/>
      <c r="AE81" s="36"/>
      <c r="AF81" s="36"/>
      <c r="AG81" s="36"/>
      <c r="AH81" s="36"/>
      <c r="AI81" s="36"/>
      <c r="AJ81" s="36"/>
    </row>
    <row r="82" ht="37.5" customHeight="1" spans="1:36" x14ac:dyDescent="0.25">
      <c r="A82" s="49" t="s">
        <v>42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</row>
    <row r="83" ht="15" customHeight="1" spans="1:36" x14ac:dyDescent="0.25">
      <c r="A83" s="19" t="s">
        <v>79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19"/>
      <c r="AC83" s="19"/>
      <c r="AD83" s="19"/>
      <c r="AE83" s="19"/>
      <c r="AF83" s="19"/>
      <c r="AG83" s="19"/>
      <c r="AH83" s="19"/>
      <c r="AI83" s="19"/>
      <c r="AJ83" s="19"/>
    </row>
    <row r="84" ht="8.25" customHeight="1" spans="1:36" x14ac:dyDescent="0.25">
      <c r="A84" s="28" t="s">
        <v>72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45"/>
      <c r="Q84" s="45"/>
      <c r="R84" s="45"/>
      <c r="S84" s="45"/>
      <c r="T84" s="45"/>
      <c r="U84" s="46"/>
      <c r="V84" s="46"/>
      <c r="W84" s="46"/>
      <c r="X84" s="46"/>
      <c r="Y84" s="46"/>
      <c r="Z84" s="46"/>
      <c r="AA84" s="46"/>
      <c r="AB84" s="36" t="s">
        <v>73</v>
      </c>
      <c r="AC84" s="36"/>
      <c r="AD84" s="36"/>
      <c r="AE84" s="36"/>
      <c r="AF84" s="36"/>
      <c r="AG84" s="36"/>
      <c r="AH84" s="36"/>
      <c r="AI84" s="36"/>
      <c r="AJ84" s="36"/>
    </row>
    <row r="85" ht="34.5" customHeight="1" spans="1:36" x14ac:dyDescent="0.25">
      <c r="A85" s="49" t="s">
        <v>80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</row>
    <row r="86" ht="22.5" customHeight="1" spans="1:36" x14ac:dyDescent="0.25">
      <c r="A86" s="19" t="s">
        <v>81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19"/>
      <c r="AC86" s="19"/>
      <c r="AD86" s="19"/>
      <c r="AE86" s="19"/>
      <c r="AF86" s="19"/>
      <c r="AG86" s="19"/>
      <c r="AH86" s="19"/>
      <c r="AI86" s="19"/>
      <c r="AJ86" s="19"/>
    </row>
    <row r="87" ht="12" customHeight="1" spans="1:36" x14ac:dyDescent="0.25">
      <c r="A87" s="28" t="s">
        <v>72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45"/>
      <c r="Q87" s="45"/>
      <c r="R87" s="45"/>
      <c r="S87" s="45"/>
      <c r="T87" s="45"/>
      <c r="U87" s="46"/>
      <c r="V87" s="46"/>
      <c r="W87" s="46"/>
      <c r="X87" s="46"/>
      <c r="Y87" s="46"/>
      <c r="Z87" s="46"/>
      <c r="AA87" s="46"/>
      <c r="AB87" s="36" t="s">
        <v>73</v>
      </c>
      <c r="AC87" s="36"/>
      <c r="AD87" s="36"/>
      <c r="AE87" s="36"/>
      <c r="AF87" s="36"/>
      <c r="AG87" s="36"/>
      <c r="AH87" s="36"/>
      <c r="AI87" s="36"/>
      <c r="AJ87" s="36"/>
    </row>
    <row r="88" ht="9" customHeight="1" x14ac:dyDescent="0.25"/>
    <row r="89" ht="12" customHeight="1" x14ac:dyDescent="0.25"/>
  </sheetData>
  <mergeCells count="74"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52:AJ52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1:O71"/>
    <mergeCell ref="AB71:AJ71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2:AJ82"/>
    <mergeCell ref="A83:O83"/>
    <mergeCell ref="AB83:AJ83"/>
    <mergeCell ref="A84:O84"/>
    <mergeCell ref="AB84:AJ84"/>
    <mergeCell ref="A85:AJ85"/>
    <mergeCell ref="A86:O86"/>
    <mergeCell ref="AB86:AJ86"/>
    <mergeCell ref="A87:O87"/>
    <mergeCell ref="AB87:AJ87"/>
  </mergeCells>
  <pageMargins left="0.7875" right="0.275694444444444" top="0.39375" bottom="0.39375" header="0.511811023622047" footer="0.511811023622047"/>
  <pageSetup paperSize="9" orientation="portrait" horizontalDpi="300" verticalDpi="300" scale="8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66"/>
  </sheetPr>
  <dimension ref="A1:IW88"/>
  <sheetViews>
    <sheetView workbookViewId="0" zoomScale="125" zoomScaleNormal="125" view="normal">
      <selection activeCell="A33" sqref="A33"/>
    </sheetView>
  </sheetViews>
  <sheetFormatPr defaultRowHeight="15" outlineLevelRow="0" outlineLevelCol="0" x14ac:dyDescent="0" defaultColWidth="10.65234375"/>
  <cols>
    <col min="1" max="31" width="2.82" style="5" customWidth="1"/>
    <col min="32" max="32" width="2.99" style="5" customWidth="1"/>
    <col min="33" max="51" width="2.82" style="5" customWidth="1"/>
    <col min="52" max="257" width="10.65" style="5" customWidth="1"/>
  </cols>
  <sheetData>
    <row r="1" ht="12.75" customHeight="1" spans="36:36" x14ac:dyDescent="0.25">
      <c r="AJ1" s="7" t="s">
        <v>10</v>
      </c>
    </row>
    <row r="2" ht="11.25" customHeight="1" spans="36:36" x14ac:dyDescent="0.25">
      <c r="AJ2" s="7" t="s">
        <v>82</v>
      </c>
    </row>
    <row r="3" ht="12" customHeight="1" spans="1:43" x14ac:dyDescent="0.25">
      <c r="A3" s="8" t="s">
        <v>12</v>
      </c>
      <c r="AJ3" s="9"/>
      <c r="AK3" s="9"/>
      <c r="AL3" s="9"/>
      <c r="AM3" s="9"/>
      <c r="AN3" s="9"/>
      <c r="AO3" s="9"/>
      <c r="AP3" s="9"/>
      <c r="AQ3" s="9"/>
    </row>
    <row r="4" ht="29.25" customHeight="1" spans="1:36" x14ac:dyDescent="0.25">
      <c r="A4" s="10">
        <f>'АОСР (1)'!A4:AJ4</f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9" customHeight="1" spans="1:36" x14ac:dyDescent="0.25">
      <c r="A5" s="11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ht="23.25" customHeight="1" spans="1:36" x14ac:dyDescent="0.25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ht="40.5" customHeight="1" spans="1:36" x14ac:dyDescent="0.25">
      <c r="A7" s="10">
        <f>'АОСР (1)'!A7:AJ7</f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46.5" customHeight="1" spans="1:36" x14ac:dyDescent="0.25">
      <c r="A8" s="11" t="s">
        <v>17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ht="12" customHeight="1" spans="1:1" x14ac:dyDescent="0.25">
      <c r="A9" s="8" t="s">
        <v>18</v>
      </c>
    </row>
    <row r="10" ht="48.75" customHeight="1" spans="1:36" x14ac:dyDescent="0.25">
      <c r="A10" s="50">
        <f>'АОСР (1)'!A10:AJ10</f>
        <v>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</row>
    <row r="11" ht="36" customHeight="1" spans="1:36" x14ac:dyDescent="0.25">
      <c r="A11" s="11" t="s">
        <v>20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ht="15" customHeight="1" spans="1:1" x14ac:dyDescent="0.25">
      <c r="A12" s="8" t="s">
        <v>21</v>
      </c>
    </row>
    <row r="13" ht="37.5" customHeight="1" spans="1:36" x14ac:dyDescent="0.25">
      <c r="A13" s="50">
        <f>'АОСР (1)'!A13:AJ13</f>
        <v>0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</row>
    <row r="14" ht="27.75" customHeight="1" spans="1:36" x14ac:dyDescent="0.25">
      <c r="A14" s="11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ht="10.5" customHeight="1" spans="1:36" x14ac:dyDescent="0.25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ht="12.75" customHeight="1" spans="1:36" x14ac:dyDescent="0.25">
      <c r="A16" s="14" t="s">
        <v>83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ht="3.75" customHeight="1" spans="1:1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2.75" customHeight="1" spans="1:36" x14ac:dyDescent="0.25">
      <c r="A18" s="16"/>
      <c r="B18" s="16" t="s">
        <v>26</v>
      </c>
      <c r="C18" s="17" t="str">
        <f>CONCATENATE("2 (ЗП ГНБ №",Лист1!B2,")")</f>
        <v>2 (ЗП ГНБ №)</v>
      </c>
      <c r="D18" s="17"/>
      <c r="E18" s="17"/>
      <c r="F18" s="17"/>
      <c r="G18" s="17"/>
      <c r="H18" s="17"/>
      <c r="I18" s="17"/>
      <c r="J18" s="17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8" t="s">
        <v>27</v>
      </c>
      <c r="Y18" s="19">
        <f>Лист1!C8</f>
        <v>0</v>
      </c>
      <c r="Z18" s="19"/>
      <c r="AA18" s="8" t="s">
        <v>27</v>
      </c>
      <c r="AB18" s="19">
        <f>Лист1!D8</f>
        <v>0</v>
      </c>
      <c r="AC18" s="19"/>
      <c r="AD18" s="19"/>
      <c r="AE18" s="19"/>
      <c r="AF18" s="8"/>
      <c r="AG18" s="19">
        <f>Лист1!E8</f>
        <v>0</v>
      </c>
      <c r="AH18" s="19"/>
      <c r="AI18" s="19"/>
      <c r="AJ18" s="8" t="s">
        <v>28</v>
      </c>
    </row>
    <row r="19" ht="9.75" customHeight="1" spans="25:34" x14ac:dyDescent="0.25">
      <c r="Y19" s="20"/>
      <c r="Z19" s="21" t="s">
        <v>29</v>
      </c>
      <c r="AA19" s="20"/>
      <c r="AB19" s="20"/>
      <c r="AC19" s="20"/>
      <c r="AD19" s="20"/>
      <c r="AE19" s="20"/>
      <c r="AF19" s="20"/>
      <c r="AG19" s="20"/>
      <c r="AH19" s="20"/>
    </row>
    <row r="20" ht="3" customHeight="1" spans="25:34" x14ac:dyDescent="0.25"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24.75" customHeight="1" spans="1:36" x14ac:dyDescent="0.25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ht="27" customHeight="1" spans="1:36" x14ac:dyDescent="0.25">
      <c r="A22" s="22">
        <f>'АОСР (1)'!A22:AJ22</f>
        <v>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23.25" customHeight="1" spans="1:36" x14ac:dyDescent="0.25">
      <c r="A23" s="23" t="s">
        <v>32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ht="12" customHeight="1" spans="1:36" x14ac:dyDescent="0.25">
      <c r="A24" s="10">
        <f>'АОСР (1)'!A24:AJ24</f>
        <v>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39" customHeight="1" spans="1:36" x14ac:dyDescent="0.25">
      <c r="A25" s="11" t="s">
        <v>36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ht="12" customHeight="1" spans="1:1" x14ac:dyDescent="0.25">
      <c r="A26" s="8" t="s">
        <v>37</v>
      </c>
    </row>
    <row r="27" ht="33.75" customHeight="1" spans="1:36" x14ac:dyDescent="0.25">
      <c r="A27" s="10">
        <f>'АОСР (1)'!A27:AJ27</f>
        <v>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9" customHeight="1" spans="1:36" x14ac:dyDescent="0.25">
      <c r="A28" s="11" t="s">
        <v>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ht="24.75" customHeight="1" spans="1:36" x14ac:dyDescent="0.25">
      <c r="A29" s="12" t="s">
        <v>40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ht="33.75" customHeight="1" spans="1:257" x14ac:dyDescent="0.25">
      <c r="A30" s="10">
        <f>'АОСР (1)'!A30:AJ30</f>
        <v>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ht="26.25" customHeight="1" spans="1:36" x14ac:dyDescent="0.25">
      <c r="A31" s="11" t="s">
        <v>41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ht="48" customHeight="1" spans="1:36" x14ac:dyDescent="0.25">
      <c r="A32" s="26" t="s">
        <v>42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ht="15" customHeight="1" spans="1:25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ht="17.25" customHeight="1" spans="1:36" x14ac:dyDescent="0.25">
      <c r="A34" s="11" t="s">
        <v>43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ht="39.75" customHeight="1" spans="1:36" x14ac:dyDescent="0.25">
      <c r="A35" s="26" t="s">
        <v>84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ht="20.25" customHeight="1" spans="1:36" x14ac:dyDescent="0.25">
      <c r="A36" s="27" t="s">
        <v>45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18" customHeight="1" spans="1:36" x14ac:dyDescent="0.25">
      <c r="A37" s="28" t="s">
        <v>46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11.25" customHeight="1" spans="1:1" x14ac:dyDescent="0.25">
      <c r="A38" s="8" t="s">
        <v>85</v>
      </c>
    </row>
    <row r="39" ht="12" customHeight="1" spans="1:36" x14ac:dyDescent="0.25">
      <c r="A39" s="19" t="s">
        <v>86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ht="10.5" customHeight="1" spans="1:36" x14ac:dyDescent="0.25">
      <c r="A40" s="28" t="s">
        <v>87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10.5" customHeight="1" spans="1:1" x14ac:dyDescent="0.25">
      <c r="A41" s="8" t="s">
        <v>88</v>
      </c>
    </row>
    <row r="42" ht="12" customHeight="1" spans="1:1" x14ac:dyDescent="0.25">
      <c r="A42" s="8" t="s">
        <v>89</v>
      </c>
    </row>
    <row r="43" ht="39" customHeight="1" spans="1:36" x14ac:dyDescent="0.25">
      <c r="A43" s="51" t="str">
        <f>CONCATENATE("Строительство закрытого перехода №",Лист1!B2," методом ГНБ; Lпр.=",Лист1!B3," м, Lобщ.=",Лист1!B4," м, одна скважина из 2-х труб d=225 мм, по адресу : ",Лист1!B5,", проверка трубных переходов на проходимость; затягивание шнура; нумерация труб; установка заглушек.")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</row>
    <row r="44" ht="9.75" customHeight="1" spans="1:36" x14ac:dyDescent="0.25">
      <c r="A44" s="11" t="s">
        <v>90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ht="12" customHeight="1" spans="1:1" x14ac:dyDescent="0.25">
      <c r="A45" s="8" t="s">
        <v>91</v>
      </c>
    </row>
    <row r="46" ht="12" customHeight="1" spans="1:36" x14ac:dyDescent="0.25">
      <c r="A46" s="10">
        <f>'АОСР (1)'!A45:AJ45</f>
        <v>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5" customHeight="1" spans="1:36" x14ac:dyDescent="0.25">
      <c r="A47" s="11" t="s">
        <v>92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ht="15" customHeight="1" spans="1:36" x14ac:dyDescent="0.25">
      <c r="A48" s="8" t="s">
        <v>93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</row>
    <row r="49" ht="52.5" customHeight="1" spans="1:36" x14ac:dyDescent="0.25">
      <c r="A49" s="52" t="s">
        <v>94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18" customHeight="1" spans="1:36" x14ac:dyDescent="0.25">
      <c r="A50" s="11" t="s">
        <v>95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ht="12.75" customHeight="1" spans="1:1" x14ac:dyDescent="0.25">
      <c r="A51" s="8" t="s">
        <v>96</v>
      </c>
    </row>
    <row r="52" ht="12" customHeight="1" spans="1:36" x14ac:dyDescent="0.25">
      <c r="A52" s="8" t="s">
        <v>97</v>
      </c>
      <c r="G52" s="53" t="str">
        <f>CONCATENATE("Исполнительный чертеж ЗП №",Лист1!B2," (по адресу: ",Лист1!B5,")")</f>
        <v>Исполнительный чертеж ЗП № (по адресу: )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</row>
    <row r="53" ht="12" customHeight="1" spans="1:36" x14ac:dyDescent="0.25">
      <c r="A53" s="42" t="s">
        <v>98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</row>
    <row r="54" ht="13.5" customHeight="1" spans="1:36" x14ac:dyDescent="0.25">
      <c r="A54" s="8" t="s">
        <v>99</v>
      </c>
      <c r="B54" s="8"/>
      <c r="C54" s="8"/>
      <c r="D54" s="54"/>
      <c r="E54" s="54"/>
      <c r="F54" s="54"/>
      <c r="G54" s="54"/>
      <c r="H54" s="8"/>
      <c r="I54" s="8"/>
      <c r="J54" s="8"/>
      <c r="K54" s="8"/>
      <c r="L54" s="18" t="s">
        <v>27</v>
      </c>
      <c r="M54" s="19">
        <f>Лист1!C6</f>
        <v>0</v>
      </c>
      <c r="N54" s="19"/>
      <c r="O54" s="8" t="s">
        <v>27</v>
      </c>
      <c r="P54" s="19">
        <f>Лист1!D6</f>
        <v>0</v>
      </c>
      <c r="Q54" s="19"/>
      <c r="R54" s="19"/>
      <c r="S54" s="19"/>
      <c r="T54" s="8"/>
      <c r="U54" s="19">
        <f>Лист1!E6</f>
        <v>0</v>
      </c>
      <c r="V54" s="19"/>
      <c r="W54" s="19"/>
      <c r="X54" s="8" t="s">
        <v>28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ht="12" customHeight="1" spans="1:257" x14ac:dyDescent="0.25">
      <c r="A55" s="8" t="s">
        <v>100</v>
      </c>
      <c r="B55" s="8"/>
      <c r="C55" s="8"/>
      <c r="D55" s="54"/>
      <c r="E55" s="54"/>
      <c r="F55" s="54"/>
      <c r="G55" s="54"/>
      <c r="H55" s="8"/>
      <c r="I55" s="8"/>
      <c r="J55" s="8"/>
      <c r="K55" s="8"/>
      <c r="L55" s="18" t="s">
        <v>27</v>
      </c>
      <c r="M55" s="55">
        <f>Лист1!C7</f>
        <v>0</v>
      </c>
      <c r="N55" s="55"/>
      <c r="O55" s="8" t="s">
        <v>27</v>
      </c>
      <c r="P55" s="55">
        <f>Лист1!D7</f>
        <v>0</v>
      </c>
      <c r="Q55" s="55"/>
      <c r="R55" s="55"/>
      <c r="S55" s="55"/>
      <c r="T55" s="8"/>
      <c r="U55" s="55">
        <f>Лист1!E7</f>
        <v>0</v>
      </c>
      <c r="V55" s="55"/>
      <c r="W55" s="55"/>
      <c r="X55" s="8" t="s">
        <v>28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</row>
    <row r="56" ht="4.5" customHeight="1" spans="1:257" x14ac:dyDescent="0.25">
      <c r="A56" s="56"/>
      <c r="B56" s="56"/>
      <c r="C56" s="56"/>
      <c r="D56" s="57"/>
      <c r="E56" s="57"/>
      <c r="F56" s="57"/>
      <c r="G56" s="57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</row>
    <row r="57" ht="9.75" customHeight="1" spans="1:36" x14ac:dyDescent="0.25">
      <c r="A57" s="8" t="s">
        <v>101</v>
      </c>
      <c r="O57" s="17">
        <f>A46</f>
        <v>0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</row>
    <row r="58" ht="12.75" customHeight="1" spans="1:1" x14ac:dyDescent="0.25">
      <c r="A58" s="8" t="s">
        <v>102</v>
      </c>
    </row>
    <row r="59" ht="12" customHeight="1" spans="1:36" x14ac:dyDescent="0.25">
      <c r="A59" s="19" t="s">
        <v>103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ht="12" customHeight="1" spans="1:36" x14ac:dyDescent="0.25">
      <c r="A60" s="11" t="s">
        <v>104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ht="12.75" customHeight="1" spans="1:36" x14ac:dyDescent="0.25">
      <c r="A61" s="8" t="s">
        <v>62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19" t="s">
        <v>63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ht="15" customHeight="1" spans="1:36" x14ac:dyDescent="0.25">
      <c r="A62" s="8" t="s">
        <v>64</v>
      </c>
      <c r="B62" s="8"/>
      <c r="C62" s="8"/>
      <c r="D62" s="8"/>
      <c r="E62" s="8"/>
      <c r="F62" s="8"/>
      <c r="G62" s="8"/>
      <c r="H62" s="19">
        <v>4</v>
      </c>
      <c r="I62" s="19"/>
      <c r="J62" s="8" t="s">
        <v>65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ht="12.75" customHeight="1" spans="1:1" x14ac:dyDescent="0.25">
      <c r="A63" s="8" t="s">
        <v>66</v>
      </c>
    </row>
    <row r="64" ht="12.75" customHeight="1" spans="1:36" x14ac:dyDescent="0.25">
      <c r="A64" s="41" t="str">
        <f>CONCATENATE("1. ",G52)</f>
        <v>1. Исполнительный чертеж ЗП № (по адресу: )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 ht="52.5" customHeight="1" spans="1:36" x14ac:dyDescent="0.25">
      <c r="A65" s="52" t="str">
        <f>CONCATENATE("2. ",A49)</f>
        <v>2. 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10.5" customHeight="1" spans="1:36" x14ac:dyDescent="0.25">
      <c r="A66" s="11" t="s">
        <v>68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ht="13.5" customHeight="1" spans="1:1" x14ac:dyDescent="0.25">
      <c r="A67" s="8" t="s">
        <v>69</v>
      </c>
    </row>
    <row r="68" ht="12" customHeight="1" spans="1:1" x14ac:dyDescent="0.25">
      <c r="A68" s="8" t="s">
        <v>70</v>
      </c>
    </row>
    <row r="69" ht="28.5" customHeight="1" spans="1:36" x14ac:dyDescent="0.25">
      <c r="A69" s="19" t="s">
        <v>71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19"/>
      <c r="AC69" s="19"/>
      <c r="AD69" s="19"/>
      <c r="AE69" s="19"/>
      <c r="AF69" s="19"/>
      <c r="AG69" s="19"/>
      <c r="AH69" s="19"/>
      <c r="AI69" s="19"/>
      <c r="AJ69" s="19"/>
    </row>
    <row r="70" ht="10.5" customHeight="1" spans="1:36" x14ac:dyDescent="0.25">
      <c r="A70" s="28" t="s">
        <v>72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45"/>
      <c r="Q70" s="45"/>
      <c r="R70" s="45"/>
      <c r="S70" s="45"/>
      <c r="T70" s="45"/>
      <c r="U70" s="46"/>
      <c r="V70" s="46"/>
      <c r="W70" s="46"/>
      <c r="X70" s="46"/>
      <c r="Y70" s="46"/>
      <c r="Z70" s="46"/>
      <c r="AA70" s="46"/>
      <c r="AB70" s="36" t="s">
        <v>73</v>
      </c>
      <c r="AC70" s="36"/>
      <c r="AD70" s="36"/>
      <c r="AE70" s="36"/>
      <c r="AF70" s="36"/>
      <c r="AG70" s="36"/>
      <c r="AH70" s="36"/>
      <c r="AI70" s="36"/>
      <c r="AJ70" s="36"/>
    </row>
    <row r="71" ht="11.25" customHeight="1" spans="1:36" x14ac:dyDescent="0.25">
      <c r="A71" s="26" t="s">
        <v>74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ht="28.5" customHeight="1" spans="1:36" x14ac:dyDescent="0.25">
      <c r="A72" s="19" t="s">
        <v>75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7"/>
      <c r="AC72" s="47"/>
      <c r="AD72" s="47"/>
      <c r="AE72" s="47"/>
      <c r="AF72" s="47"/>
      <c r="AG72" s="47"/>
      <c r="AH72" s="47"/>
      <c r="AI72" s="47"/>
      <c r="AJ72" s="47"/>
    </row>
    <row r="73" ht="9.75" customHeight="1" spans="1:36" x14ac:dyDescent="0.25">
      <c r="A73" s="28" t="s">
        <v>72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45"/>
      <c r="Q73" s="45"/>
      <c r="R73" s="45"/>
      <c r="S73" s="45"/>
      <c r="T73" s="45"/>
      <c r="U73" s="46"/>
      <c r="V73" s="46"/>
      <c r="W73" s="46"/>
      <c r="X73" s="46"/>
      <c r="Y73" s="46"/>
      <c r="Z73" s="46"/>
      <c r="AA73" s="46"/>
      <c r="AB73" s="36" t="s">
        <v>73</v>
      </c>
      <c r="AC73" s="36"/>
      <c r="AD73" s="36"/>
      <c r="AE73" s="36"/>
      <c r="AF73" s="36"/>
      <c r="AG73" s="36"/>
      <c r="AH73" s="36"/>
      <c r="AI73" s="36"/>
      <c r="AJ73" s="36"/>
    </row>
    <row r="74" ht="10.5" customHeight="1" spans="1:36" x14ac:dyDescent="0.25">
      <c r="A74" s="48" t="s">
        <v>37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24.75" customHeight="1" spans="1:257" x14ac:dyDescent="0.25">
      <c r="A75" s="19" t="s">
        <v>76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19"/>
      <c r="AC75" s="19"/>
      <c r="AD75" s="19"/>
      <c r="AE75" s="19"/>
      <c r="AF75" s="19"/>
      <c r="AG75" s="19"/>
      <c r="AH75" s="19"/>
      <c r="AI75" s="19"/>
      <c r="AJ75" s="19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8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8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8"/>
      <c r="IS75" s="48"/>
      <c r="IT75" s="48"/>
      <c r="IU75" s="48"/>
      <c r="IV75" s="48"/>
      <c r="IW75" s="48"/>
    </row>
    <row r="76" ht="9" customHeight="1" spans="1:36" x14ac:dyDescent="0.25">
      <c r="A76" s="28" t="s">
        <v>72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45"/>
      <c r="Q76" s="45"/>
      <c r="R76" s="45"/>
      <c r="S76" s="45"/>
      <c r="T76" s="45"/>
      <c r="U76" s="46"/>
      <c r="V76" s="46"/>
      <c r="W76" s="46"/>
      <c r="X76" s="46"/>
      <c r="Y76" s="46"/>
      <c r="Z76" s="46"/>
      <c r="AA76" s="46"/>
      <c r="AB76" s="36" t="s">
        <v>73</v>
      </c>
      <c r="AC76" s="36"/>
      <c r="AD76" s="36"/>
      <c r="AE76" s="36"/>
      <c r="AF76" s="36"/>
      <c r="AG76" s="36"/>
      <c r="AH76" s="36"/>
      <c r="AI76" s="36"/>
      <c r="AJ76" s="36"/>
    </row>
    <row r="77" ht="12.75" customHeight="1" spans="1:1" x14ac:dyDescent="0.25">
      <c r="A77" s="48" t="s">
        <v>77</v>
      </c>
    </row>
    <row r="78" ht="10.5" customHeight="1" spans="1:1" x14ac:dyDescent="0.25">
      <c r="A78" s="48" t="s">
        <v>78</v>
      </c>
    </row>
    <row r="79" ht="21.75" customHeight="1" spans="1:36" x14ac:dyDescent="0.25">
      <c r="A79" s="19" t="s">
        <v>76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19"/>
      <c r="AC79" s="19"/>
      <c r="AD79" s="19"/>
      <c r="AE79" s="19"/>
      <c r="AF79" s="19"/>
      <c r="AG79" s="19"/>
      <c r="AH79" s="19"/>
      <c r="AI79" s="19"/>
      <c r="AJ79" s="19"/>
    </row>
    <row r="80" ht="8.25" customHeight="1" spans="1:36" x14ac:dyDescent="0.25">
      <c r="A80" s="28" t="s">
        <v>72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45"/>
      <c r="Q80" s="45"/>
      <c r="R80" s="45"/>
      <c r="S80" s="45"/>
      <c r="T80" s="45"/>
      <c r="U80" s="46"/>
      <c r="V80" s="46"/>
      <c r="W80" s="46"/>
      <c r="X80" s="46"/>
      <c r="Y80" s="46"/>
      <c r="Z80" s="46"/>
      <c r="AA80" s="46"/>
      <c r="AB80" s="36" t="s">
        <v>73</v>
      </c>
      <c r="AC80" s="36"/>
      <c r="AD80" s="36"/>
      <c r="AE80" s="36"/>
      <c r="AF80" s="36"/>
      <c r="AG80" s="36"/>
      <c r="AH80" s="36"/>
      <c r="AI80" s="36"/>
      <c r="AJ80" s="36"/>
    </row>
    <row r="81" ht="37.5" customHeight="1" spans="1:36" x14ac:dyDescent="0.25">
      <c r="A81" s="49" t="s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</row>
    <row r="82" ht="15" customHeight="1" spans="1:36" x14ac:dyDescent="0.25">
      <c r="A82" s="19" t="s">
        <v>79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19"/>
      <c r="AC82" s="19"/>
      <c r="AD82" s="19"/>
      <c r="AE82" s="19"/>
      <c r="AF82" s="19"/>
      <c r="AG82" s="19"/>
      <c r="AH82" s="19"/>
      <c r="AI82" s="19"/>
      <c r="AJ82" s="19"/>
    </row>
    <row r="83" ht="8.25" customHeight="1" spans="1:36" x14ac:dyDescent="0.25">
      <c r="A83" s="28" t="s">
        <v>72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45"/>
      <c r="Q83" s="45"/>
      <c r="R83" s="45"/>
      <c r="S83" s="45"/>
      <c r="T83" s="45"/>
      <c r="U83" s="46"/>
      <c r="V83" s="46"/>
      <c r="W83" s="46"/>
      <c r="X83" s="46"/>
      <c r="Y83" s="46"/>
      <c r="Z83" s="46"/>
      <c r="AA83" s="46"/>
      <c r="AB83" s="36" t="s">
        <v>73</v>
      </c>
      <c r="AC83" s="36"/>
      <c r="AD83" s="36"/>
      <c r="AE83" s="36"/>
      <c r="AF83" s="36"/>
      <c r="AG83" s="36"/>
      <c r="AH83" s="36"/>
      <c r="AI83" s="36"/>
      <c r="AJ83" s="36"/>
    </row>
    <row r="84" ht="34.5" customHeight="1" spans="1:36" x14ac:dyDescent="0.25">
      <c r="A84" s="49" t="s">
        <v>84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</row>
    <row r="85" ht="28.5" customHeight="1" spans="1:36" x14ac:dyDescent="0.25">
      <c r="A85" s="19" t="s">
        <v>81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19"/>
      <c r="AC85" s="19"/>
      <c r="AD85" s="19"/>
      <c r="AE85" s="19"/>
      <c r="AF85" s="19"/>
      <c r="AG85" s="19"/>
      <c r="AH85" s="19"/>
      <c r="AI85" s="19"/>
      <c r="AJ85" s="19"/>
    </row>
    <row r="86" ht="12" customHeight="1" spans="1:36" x14ac:dyDescent="0.25">
      <c r="A86" s="28" t="s">
        <v>72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45"/>
      <c r="Q86" s="45"/>
      <c r="R86" s="45"/>
      <c r="S86" s="45"/>
      <c r="T86" s="45"/>
      <c r="U86" s="46"/>
      <c r="V86" s="46"/>
      <c r="W86" s="46"/>
      <c r="X86" s="46"/>
      <c r="Y86" s="46"/>
      <c r="Z86" s="46"/>
      <c r="AA86" s="46"/>
      <c r="AB86" s="36" t="s">
        <v>73</v>
      </c>
      <c r="AC86" s="36"/>
      <c r="AD86" s="36"/>
      <c r="AE86" s="36"/>
      <c r="AF86" s="36"/>
      <c r="AG86" s="36"/>
      <c r="AH86" s="36"/>
      <c r="AI86" s="36"/>
      <c r="AJ86" s="36"/>
    </row>
    <row r="87" ht="9" customHeight="1" x14ac:dyDescent="0.25"/>
    <row r="88" ht="12" customHeight="1" x14ac:dyDescent="0.25"/>
  </sheetData>
  <mergeCells count="82"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49:AJ49"/>
    <mergeCell ref="A50:AJ50"/>
    <mergeCell ref="G52:AJ52"/>
    <mergeCell ref="A53:AJ53"/>
    <mergeCell ref="M54:N54"/>
    <mergeCell ref="P54:S54"/>
    <mergeCell ref="U54:W54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69:O69"/>
    <mergeCell ref="AB69:AJ69"/>
    <mergeCell ref="A70:O70"/>
    <mergeCell ref="AB70:AJ70"/>
    <mergeCell ref="A71:AJ71"/>
    <mergeCell ref="A72:O72"/>
    <mergeCell ref="A73:O73"/>
    <mergeCell ref="AB73:AJ7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3:O83"/>
    <mergeCell ref="AB83:AJ83"/>
    <mergeCell ref="A84:AJ84"/>
    <mergeCell ref="A85:O85"/>
    <mergeCell ref="AB85:AJ85"/>
    <mergeCell ref="A86:O86"/>
    <mergeCell ref="AB86:AJ86"/>
  </mergeCells>
  <pageMargins left="0.7875" right="0.275694444444444" top="0.39375" bottom="0.39375" header="0.511811023622047" footer="0.511811023622047"/>
  <pageSetup paperSize="9" orientation="portrait" horizontalDpi="300" verticalDpi="300" scale="9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АОСР (1)</vt:lpstr>
      <vt:lpstr>АОСР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dc:title/>
  <dc:subject/>
  <dc:description/>
  <dc:language>en-US</dc:language>
  <cp:lastModifiedBy>Моисеев Максим</cp:lastModifiedBy>
  <cp:lastPrinted>2025-11-25T13:49:36Z</cp:lastPrinted>
  <dcterms:created xsi:type="dcterms:W3CDTF">2018-02-24T16:53:12Z</dcterms:created>
  <dcterms:modified xsi:type="dcterms:W3CDTF">2026-03-05T15:59:04Z</dcterms:modified>
</cp:coreProperties>
</file>