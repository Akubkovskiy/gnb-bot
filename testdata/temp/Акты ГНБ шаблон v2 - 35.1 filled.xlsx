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ubko\projects\gnb-bot\testdata\temp\"/>
    </mc:Choice>
  </mc:AlternateContent>
  <xr:revisionPtr revIDLastSave="0" documentId="13_ncr:1_{A44AB3BF-ADC8-44B4-B4AB-034CEAFADB89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Лист1" sheetId="1" r:id="rId1"/>
    <sheet name="Разбивка" sheetId="2" r:id="rId2"/>
    <sheet name="Герметизация" sheetId="3" r:id="rId3"/>
    <sheet name="АОСР " sheetId="4" r:id="rId4"/>
    <sheet name="Надзор" sheetId="5" r:id="rId5"/>
    <sheet name="Приемка" sheetId="6" r:id="rId6"/>
    <sheet name="ПП" sheetId="7" r:id="rId7"/>
    <sheet name="Акт освид" sheetId="8" r:id="rId8"/>
    <sheet name="Соосность" sheetId="9" r:id="rId9"/>
    <sheet name="Сварка трубы" sheetId="10" r:id="rId10"/>
    <sheet name="Опись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1" i="1" l="1"/>
  <c r="A24" i="11"/>
  <c r="B22" i="11"/>
  <c r="A22" i="11"/>
  <c r="A20" i="11"/>
  <c r="K15" i="11"/>
  <c r="C15" i="11"/>
  <c r="C13" i="11"/>
  <c r="A11" i="11"/>
  <c r="C9" i="11"/>
  <c r="C8" i="11"/>
  <c r="C4" i="11"/>
  <c r="C3" i="11"/>
  <c r="C2" i="11"/>
  <c r="C1" i="11"/>
  <c r="A39" i="10"/>
  <c r="A37" i="10"/>
  <c r="D28" i="10"/>
  <c r="D26" i="10"/>
  <c r="E24" i="10"/>
  <c r="H22" i="10"/>
  <c r="D22" i="10"/>
  <c r="C18" i="10"/>
  <c r="E17" i="10"/>
  <c r="E14" i="10"/>
  <c r="A13" i="10"/>
  <c r="A12" i="10"/>
  <c r="A11" i="10"/>
  <c r="C4" i="10"/>
  <c r="C3" i="10"/>
  <c r="C2" i="10"/>
  <c r="C1" i="10"/>
  <c r="A37" i="9"/>
  <c r="A35" i="9"/>
  <c r="D26" i="9"/>
  <c r="D24" i="9"/>
  <c r="E22" i="9"/>
  <c r="H20" i="9"/>
  <c r="D20" i="9"/>
  <c r="C18" i="9"/>
  <c r="F17" i="9"/>
  <c r="E14" i="9"/>
  <c r="A12" i="9"/>
  <c r="A11" i="9"/>
  <c r="C4" i="9"/>
  <c r="C3" i="9"/>
  <c r="C2" i="9"/>
  <c r="C1" i="9"/>
  <c r="B45" i="8"/>
  <c r="B44" i="8"/>
  <c r="B43" i="8"/>
  <c r="B42" i="8"/>
  <c r="E33" i="8"/>
  <c r="E31" i="8"/>
  <c r="A26" i="8"/>
  <c r="F24" i="8"/>
  <c r="F22" i="8"/>
  <c r="E18" i="8"/>
  <c r="C16" i="8"/>
  <c r="C15" i="8"/>
  <c r="C14" i="8"/>
  <c r="C13" i="8"/>
  <c r="A11" i="8"/>
  <c r="A9" i="8"/>
  <c r="F6" i="8"/>
  <c r="G4" i="8"/>
  <c r="A38" i="7"/>
  <c r="A36" i="7"/>
  <c r="D28" i="7"/>
  <c r="D26" i="7"/>
  <c r="E24" i="7"/>
  <c r="E22" i="7"/>
  <c r="H20" i="7"/>
  <c r="D20" i="7"/>
  <c r="C18" i="7"/>
  <c r="D17" i="7"/>
  <c r="E14" i="7"/>
  <c r="A12" i="7"/>
  <c r="A11" i="7"/>
  <c r="C4" i="7"/>
  <c r="C3" i="7"/>
  <c r="C2" i="7"/>
  <c r="C1" i="7"/>
  <c r="A35" i="6"/>
  <c r="A33" i="6"/>
  <c r="D24" i="6"/>
  <c r="D22" i="6"/>
  <c r="H20" i="6"/>
  <c r="D20" i="6"/>
  <c r="A18" i="6"/>
  <c r="D17" i="6"/>
  <c r="E14" i="6"/>
  <c r="A12" i="6"/>
  <c r="A11" i="6"/>
  <c r="C4" i="6"/>
  <c r="C3" i="6"/>
  <c r="C2" i="6"/>
  <c r="C1" i="6"/>
  <c r="A39" i="5"/>
  <c r="A37" i="5"/>
  <c r="D29" i="5"/>
  <c r="D27" i="5"/>
  <c r="E25" i="5"/>
  <c r="H23" i="5"/>
  <c r="D23" i="5"/>
  <c r="A17" i="5"/>
  <c r="E15" i="5"/>
  <c r="E14" i="5"/>
  <c r="A12" i="5"/>
  <c r="A11" i="5"/>
  <c r="C4" i="5"/>
  <c r="C3" i="5"/>
  <c r="C2" i="5"/>
  <c r="C1" i="5"/>
  <c r="A34" i="4"/>
  <c r="A32" i="4"/>
  <c r="E26" i="4"/>
  <c r="D21" i="4"/>
  <c r="D20" i="4"/>
  <c r="E19" i="4"/>
  <c r="D19" i="4"/>
  <c r="H18" i="4"/>
  <c r="F18" i="4"/>
  <c r="D18" i="4"/>
  <c r="F15" i="4"/>
  <c r="A15" i="4"/>
  <c r="A12" i="4"/>
  <c r="A11" i="4"/>
  <c r="C4" i="4"/>
  <c r="C3" i="4"/>
  <c r="C2" i="4"/>
  <c r="C1" i="4"/>
  <c r="A37" i="3"/>
  <c r="A35" i="3"/>
  <c r="D26" i="3"/>
  <c r="D24" i="3"/>
  <c r="E22" i="3"/>
  <c r="H20" i="3"/>
  <c r="D20" i="3"/>
  <c r="C18" i="3"/>
  <c r="F17" i="3"/>
  <c r="E14" i="3"/>
  <c r="A12" i="3"/>
  <c r="A11" i="3"/>
  <c r="C4" i="3"/>
  <c r="C3" i="3"/>
  <c r="C2" i="3"/>
  <c r="C1" i="3"/>
  <c r="A31" i="2"/>
  <c r="A28" i="2"/>
  <c r="F21" i="2"/>
  <c r="D15" i="2"/>
  <c r="J14" i="2"/>
  <c r="A12" i="2"/>
  <c r="C4" i="2"/>
  <c r="C3" i="2"/>
  <c r="C2" i="2"/>
  <c r="C1" i="2"/>
  <c r="K13" i="11" l="1"/>
  <c r="K14" i="11" s="1"/>
  <c r="E20" i="4"/>
  <c r="H31" i="1"/>
  <c r="E20" i="10" s="1"/>
</calcChain>
</file>

<file path=xl/sharedStrings.xml><?xml version="1.0" encoding="utf-8"?>
<sst xmlns="http://schemas.openxmlformats.org/spreadsheetml/2006/main" count="273" uniqueCount="170">
  <si>
    <t>ШАБЛОН АКТОВ ГНБ — Лист1 (заполняется ботом)</t>
  </si>
  <si>
    <t>ИДЕНТИФИКАЦИЯ</t>
  </si>
  <si>
    <t>Наименование объекта (КЛ ГНБ)</t>
  </si>
  <si>
    <t>Название стройки / объект</t>
  </si>
  <si>
    <t>Адрес</t>
  </si>
  <si>
    <t>Номер ГНБ перехода</t>
  </si>
  <si>
    <t>Номер/шифр проекта</t>
  </si>
  <si>
    <t>Дата начала работ</t>
  </si>
  <si>
    <t>Дата окончания работ</t>
  </si>
  <si>
    <t>03.06.2024 г.</t>
  </si>
  <si>
    <t>Исполнитель (организация)</t>
  </si>
  <si>
    <t>Дата завершения работ</t>
  </si>
  <si>
    <t>ОРГАНИЗАЦИИ</t>
  </si>
  <si>
    <t>Заказчик</t>
  </si>
  <si>
    <t>Подрядчик</t>
  </si>
  <si>
    <t>Проектировщик</t>
  </si>
  <si>
    <t>ПОДПИСАНТЫ</t>
  </si>
  <si>
    <t>Кто</t>
  </si>
  <si>
    <t>Описание (организация + должность + ФИО)</t>
  </si>
  <si>
    <t>Подпись для актов (с чертой)</t>
  </si>
  <si>
    <t>Подписант 1 (заказчик)</t>
  </si>
  <si>
    <t>Подписант 2 (подрядчик)</t>
  </si>
  <si>
    <t>Подписант 3 (опцион.)</t>
  </si>
  <si>
    <t>Тех.надзор (= подп. 1?)</t>
  </si>
  <si>
    <t>Подписант 3: если пусто — не печатается на листах</t>
  </si>
  <si>
    <t>ТРУБА</t>
  </si>
  <si>
    <t>Марка трубы (полная, с паспортом)</t>
  </si>
  <si>
    <t>Диаметр трубы</t>
  </si>
  <si>
    <t>ПАРАМЕТРЫ ГНБ</t>
  </si>
  <si>
    <t>Номер ГНБ</t>
  </si>
  <si>
    <t>L план</t>
  </si>
  <si>
    <t>L профиль</t>
  </si>
  <si>
    <t>Кол-во труб</t>
  </si>
  <si>
    <t>L трубы</t>
  </si>
  <si>
    <t>d скв</t>
  </si>
  <si>
    <t>Конфигурация</t>
  </si>
  <si>
    <t>Стыки</t>
  </si>
  <si>
    <t>↑ Данные из этой таблицы используются в АОСР</t>
  </si>
  <si>
    <t>Заказчик:</t>
  </si>
  <si>
    <t xml:space="preserve"> Подрядчик:</t>
  </si>
  <si>
    <t>Объект:</t>
  </si>
  <si>
    <t>Дата:</t>
  </si>
  <si>
    <t>АКТ</t>
  </si>
  <si>
    <t>разбивки закрытого перехода методом ГНБ</t>
  </si>
  <si>
    <t>Комиссия в составе представителей:</t>
  </si>
  <si>
    <t>Инженер-геодезист ООО "Резонанс-Энерго" Минаков Н.А.</t>
  </si>
  <si>
    <t>Представитель ЮРЭС АО "ОЭК"</t>
  </si>
  <si>
    <t>составили настоящий акт о том, что произведена геодезическая разбивка закрытого перехода</t>
  </si>
  <si>
    <t xml:space="preserve">выполняемого методом ГНБ </t>
  </si>
  <si>
    <t>Выполнены следующие работы:</t>
  </si>
  <si>
    <t>-привязка и разбивка приемного и рабочего котлованов к зданиям и сооружениям;</t>
  </si>
  <si>
    <t>-геодезическая разбивка осей перехода;</t>
  </si>
  <si>
    <t xml:space="preserve">Геодезические работы на устройство закрытого перехода  </t>
  </si>
  <si>
    <t xml:space="preserve">методом ГНБ выполнены  </t>
  </si>
  <si>
    <t>в соответствии с СП 126.13330.2017 Геодезические работы в строительстве.</t>
  </si>
  <si>
    <t xml:space="preserve">Представитель  ЮРЭС АО "ОЭК"                             ________________                  </t>
  </si>
  <si>
    <t>Генподрядчик:</t>
  </si>
  <si>
    <t>герметизации концов труб закрытого перехода</t>
  </si>
  <si>
    <t>Произвела осмотр работ выполненных</t>
  </si>
  <si>
    <t>и составила настоящий акт о нижеследующем:</t>
  </si>
  <si>
    <t>1.      К освидетельствованию и приемке предъявлены следующие работы</t>
  </si>
  <si>
    <t>Герметизация концов труб закрытого перехода</t>
  </si>
  <si>
    <t>выполненного методом ГНБ</t>
  </si>
  <si>
    <t xml:space="preserve">Расположенного </t>
  </si>
  <si>
    <t>2. Работы выполнены по проекту</t>
  </si>
  <si>
    <t>Шифр:</t>
  </si>
  <si>
    <t>3. При выполнении работ применены заглушки</t>
  </si>
  <si>
    <t>4. Дата начала работ</t>
  </si>
  <si>
    <t xml:space="preserve">5. Дата окончания работ </t>
  </si>
  <si>
    <t>РЕШЕНИЕ КОМИССИИ</t>
  </si>
  <si>
    <t>Работы выполнены в соответствии с проектом, стандартами, строительными нормами и отвечают требованиям их приемки.</t>
  </si>
  <si>
    <t>На основании изложенного разрешается обратная засыпка приемного и рабочего котлована строительным песком.</t>
  </si>
  <si>
    <t xml:space="preserve">На скрытые работы закрытого перехода выполненного методом ГНБ </t>
  </si>
  <si>
    <t>составили настоящий акт о том, что осмотрены выполненные работы по строительству закрытого перехода</t>
  </si>
  <si>
    <t>методом ГНБ</t>
  </si>
  <si>
    <t>При осмотре установлено:</t>
  </si>
  <si>
    <t>1.</t>
  </si>
  <si>
    <t>Длина закрытого перехода</t>
  </si>
  <si>
    <t>по плану</t>
  </si>
  <si>
    <t>по профилю</t>
  </si>
  <si>
    <t>Количество трубоканалов</t>
  </si>
  <si>
    <t>Общая длина трубоканалов</t>
  </si>
  <si>
    <t>Труба марки</t>
  </si>
  <si>
    <t>Заглушки установлены</t>
  </si>
  <si>
    <t>Трубоканалы пронумерованы, загерметизированы и проходимы</t>
  </si>
  <si>
    <t>Работы выполнены согласно проекта с качеством, удовлетворяющим заказчика</t>
  </si>
  <si>
    <t xml:space="preserve">Работы по устройство закрытого перехода  </t>
  </si>
  <si>
    <t xml:space="preserve">методом ГНБ выполнены в соответствии </t>
  </si>
  <si>
    <t xml:space="preserve">с СП 48.13330.2019 СНиП 12.01-2004 Организация строительства. </t>
  </si>
  <si>
    <t>Технического надзора по устройству закрытого перехода методом ГНБ</t>
  </si>
  <si>
    <t xml:space="preserve">1. Устройство закрытого перехода методом ГНБ </t>
  </si>
  <si>
    <t xml:space="preserve">производилось под непрерывным техническим надзором персонала </t>
  </si>
  <si>
    <t xml:space="preserve">Все технические указания </t>
  </si>
  <si>
    <t xml:space="preserve">уполномоченных лиц выполнены в полном объеме в соответствии с правилами устройства закрытых переходов </t>
  </si>
  <si>
    <t>и производственных инструкций.</t>
  </si>
  <si>
    <t>Технические хар-ки ГНБ Машины: DDW 36/13 , мощностью, кВт – 140</t>
  </si>
  <si>
    <t>Качество работ удовлетворительно.</t>
  </si>
  <si>
    <t>3. При выполнении работ применены Трубы</t>
  </si>
  <si>
    <t>На основании изложенного разрешается производство последующих работ по прокладке кабельной линии</t>
  </si>
  <si>
    <t>технической приемки готового закрытого перехода</t>
  </si>
  <si>
    <t xml:space="preserve">устройство закрытого перехода </t>
  </si>
  <si>
    <t>3. Дата начала работ</t>
  </si>
  <si>
    <t xml:space="preserve">4. Дата окончания работ </t>
  </si>
  <si>
    <t>сдачи-приемки сооружения под прокладку КЛ</t>
  </si>
  <si>
    <t>Строительство закрытого перехода</t>
  </si>
  <si>
    <t>3. При выполнении работ применена труба</t>
  </si>
  <si>
    <t>4. При выполнении работ применены заглушки</t>
  </si>
  <si>
    <t>5. Дата начала работ</t>
  </si>
  <si>
    <t xml:space="preserve">6. Дата окончания работ </t>
  </si>
  <si>
    <t>освидетельствования скрытых работ</t>
  </si>
  <si>
    <t>г. Москва</t>
  </si>
  <si>
    <t>Сооружение закрытого перехода</t>
  </si>
  <si>
    <t>(наименование работ)</t>
  </si>
  <si>
    <t>(наименование здания, сооружения)</t>
  </si>
  <si>
    <t>(район застройки, квартал, улица, № дома и корпуса)</t>
  </si>
  <si>
    <t>Комиссия в составе</t>
  </si>
  <si>
    <t>представителей:</t>
  </si>
  <si>
    <t>Ф.И.О., организация)</t>
  </si>
  <si>
    <t>1.      К освидетельствованию и приемке предъявлены следующие работы_______________________.</t>
  </si>
  <si>
    <t>Устройство закрытого перехода</t>
  </si>
  <si>
    <t xml:space="preserve"> (наименование скрытых работ)</t>
  </si>
  <si>
    <t> </t>
  </si>
  <si>
    <t xml:space="preserve"> (проект серии, наименование проектной организации, № чертежей и дата их составления)</t>
  </si>
  <si>
    <t>3.      При выполнении работ применены следующие материалы:</t>
  </si>
  <si>
    <t xml:space="preserve">заглушки 225 мм трубы проходимы; капроновый шнур затянут; заглушки установлены     </t>
  </si>
  <si>
    <t>(наименование материалов, конструкций с указанием марки, типа, категории качества и т.п.)</t>
  </si>
  <si>
    <t xml:space="preserve">Работы выполнены в соответствии с проектом, стандартами, строительными нормами и </t>
  </si>
  <si>
    <t>отвечают требованиям их приемки.</t>
  </si>
  <si>
    <t>На основании изложенного разрешается производство работ по устройству (монтажу)</t>
  </si>
  <si>
    <t>прокладку эл. кабеля в закрытый переход</t>
  </si>
  <si>
    <t>проверки трубных переходов на соосность</t>
  </si>
  <si>
    <t>проверка на соосность труб закрытого перехода</t>
  </si>
  <si>
    <t>сварки трубы</t>
  </si>
  <si>
    <t>сварка плетей труб для закрытого перехода</t>
  </si>
  <si>
    <t>выполняемого методом ГНБ</t>
  </si>
  <si>
    <t>2. Количество предъявляемых сварочных стыков:</t>
  </si>
  <si>
    <t>3. Работы выполнены по проекту</t>
  </si>
  <si>
    <t>4. При выполнении работ применены Трубы</t>
  </si>
  <si>
    <t>На основании изложенного разрешается затяжка пэ труб в скважину закрытого перехода.</t>
  </si>
  <si>
    <t>ИНВЕНТАРНАЯ ОПИСЬ</t>
  </si>
  <si>
    <t>ЭЛЕМЕНТОВ ЗАКРЫТОГО ПЕРЕХОДА</t>
  </si>
  <si>
    <t>Закрытый переход</t>
  </si>
  <si>
    <t>Расположенный</t>
  </si>
  <si>
    <t>№ п.п.</t>
  </si>
  <si>
    <t>Материалы</t>
  </si>
  <si>
    <t>Ед. изм.</t>
  </si>
  <si>
    <t>Кол-во</t>
  </si>
  <si>
    <t>Труба</t>
  </si>
  <si>
    <t>м.п.</t>
  </si>
  <si>
    <t xml:space="preserve">Капроновый шнур </t>
  </si>
  <si>
    <t>Заглушки</t>
  </si>
  <si>
    <t>шт</t>
  </si>
  <si>
    <t>ПКЛ 20кВ от РП1-45 до ПС 220 кВ Золотаревская (786) ПКЛ 20кВ от РП1-45 до ПС 220 кВ Красносельская (868) РП1-45</t>
  </si>
  <si>
    <t>1КЛ: 20кВ ПС «Красносельская» до РП 1-45</t>
  </si>
  <si>
    <t>По адресу: г.Москва, ул. Пресненский Вал, д.16 стр.1</t>
  </si>
  <si>
    <t>№35.1</t>
  </si>
  <si>
    <t>1146-КС-21-ЭС2</t>
  </si>
  <si>
    <t>04.12.2025</t>
  </si>
  <si>
    <t>12.12.2025</t>
  </si>
  <si>
    <t>ООО «СПЕЦИНЖСТРОЙ»</t>
  </si>
  <si>
    <t>АО "ОЭК"</t>
  </si>
  <si>
    <t>ООО "СПЕЦИНЖСТРОЙ"</t>
  </si>
  <si>
    <t>Мастер по ЭРС АО "ОЭК" Медведев А.С.</t>
  </si>
  <si>
    <t>Мастер по эксплуатации РС ЦРЭС АО «ОЭК» ___________________Медведев А.С.</t>
  </si>
  <si>
    <t>Начальник участка ООО «СПЕЦИНЖСТРОЙ» Щеглов Р.А.</t>
  </si>
  <si>
    <t>Начальник участка ООО «СПЕЦИНЖСТРОЙ» ___________________Щеглов Р.А.</t>
  </si>
  <si>
    <t>Центрального РЭС АО "ОЭК" и ОТН ДОСРС АО "ОЭК"</t>
  </si>
  <si>
    <t>Труба ЭЛЕКТРОПАЙП 225/170 - N 1250 F2 SDR 13,6</t>
  </si>
  <si>
    <t>d=225 мм.</t>
  </si>
  <si>
    <t>2тр. D=225мм.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</si>
</sst>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2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1"/>
      <name val="Arial"/>
      <charset val="1"/>
    </font>
    <font>
      <sz val="10"/>
      <color rgb="FF666666"/>
      <name val="Arial"/>
      <charset val="1"/>
    </font>
    <font>
      <sz val="11"/>
      <name val="Times New Roman"/>
      <charset val="1"/>
    </font>
    <font>
      <b/>
      <sz val="10"/>
      <name val="Arial"/>
      <charset val="1"/>
    </font>
    <font>
      <i/>
      <sz val="9"/>
      <color rgb="FF999999"/>
      <name val="Arial"/>
      <charset val="1"/>
    </font>
    <font>
      <sz val="10"/>
      <name val="Arial"/>
      <charset val="1"/>
    </font>
    <font>
      <b/>
      <sz val="10.5"/>
      <name val="Times New Roman"/>
      <family val="1"/>
      <charset val="204"/>
    </font>
    <font>
      <i/>
      <sz val="10.5"/>
      <name val="Times New Roman"/>
      <family val="1"/>
      <charset val="204"/>
    </font>
    <font>
      <i/>
      <u/>
      <sz val="10.5"/>
      <name val="Times New Roman"/>
      <family val="1"/>
      <charset val="204"/>
    </font>
    <font>
      <sz val="10.5"/>
      <name val="Times New Roman"/>
      <family val="1"/>
      <charset val="204"/>
    </font>
    <font>
      <u/>
      <sz val="10.5"/>
      <name val="Times New Roman"/>
      <family val="1"/>
      <charset val="204"/>
    </font>
    <font>
      <b/>
      <i/>
      <sz val="10.5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i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10.5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FFF0E0"/>
      </patternFill>
    </fill>
    <fill>
      <patternFill patternType="solid">
        <fgColor rgb="FFFFFFDD"/>
        <bgColor rgb="FFFFF0E0"/>
      </patternFill>
    </fill>
    <fill>
      <patternFill patternType="solid">
        <fgColor rgb="FFFFF0E0"/>
        <bgColor rgb="FFFFFFDD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5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right" indent="1"/>
    </xf>
    <xf numFmtId="0" fontId="13" fillId="0" borderId="3" xfId="0" applyFont="1" applyBorder="1" applyAlignment="1">
      <alignment horizontal="right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2" xfId="0" applyFont="1" applyBorder="1"/>
    <xf numFmtId="0" fontId="13" fillId="0" borderId="0" xfId="0" applyFont="1"/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/>
    </xf>
    <xf numFmtId="0" fontId="13" fillId="0" borderId="3" xfId="0" applyFont="1" applyBorder="1"/>
    <xf numFmtId="0" fontId="11" fillId="0" borderId="3" xfId="0" applyFont="1" applyBorder="1"/>
    <xf numFmtId="0" fontId="8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4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right" vertical="top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/>
    </xf>
    <xf numFmtId="0" fontId="14" fillId="0" borderId="0" xfId="0" applyFont="1"/>
    <xf numFmtId="0" fontId="13" fillId="0" borderId="4" xfId="0" applyFont="1" applyBorder="1"/>
    <xf numFmtId="0" fontId="11" fillId="0" borderId="0" xfId="0" applyFont="1" applyAlignment="1">
      <alignment vertical="center"/>
    </xf>
    <xf numFmtId="0" fontId="8" fillId="0" borderId="3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20" fillId="0" borderId="0" xfId="0" applyFont="1"/>
    <xf numFmtId="0" fontId="17" fillId="0" borderId="3" xfId="0" applyFont="1" applyBorder="1"/>
    <xf numFmtId="0" fontId="17" fillId="0" borderId="0" xfId="0" applyFont="1"/>
    <xf numFmtId="0" fontId="18" fillId="0" borderId="0" xfId="0" applyFont="1"/>
    <xf numFmtId="0" fontId="7" fillId="0" borderId="3" xfId="0" applyFont="1" applyBorder="1"/>
    <xf numFmtId="0" fontId="17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/>
    <xf numFmtId="49" fontId="11" fillId="0" borderId="0" xfId="0" applyNumberFormat="1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8" xfId="0" applyFont="1" applyBorder="1" applyAlignment="1">
      <alignment wrapText="1"/>
    </xf>
    <xf numFmtId="1" fontId="11" fillId="0" borderId="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top"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13" fillId="0" borderId="3" xfId="0" applyFont="1" applyBorder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3" fillId="0" borderId="3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7" fillId="0" borderId="3" xfId="0" applyFont="1" applyBorder="1" applyAlignment="1">
      <alignment horizontal="right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17" fillId="0" borderId="3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1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13" fillId="0" borderId="3" xfId="0" applyNumberFormat="1" applyFont="1" applyBorder="1" applyAlignment="1">
      <alignment horizontal="center"/>
    </xf>
    <xf numFmtId="0" fontId="9" fillId="0" borderId="0" xfId="0" applyFont="1" applyAlignment="1">
      <alignment horizontal="right"/>
    </xf>
    <xf numFmtId="164" fontId="24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0" borderId="9" xfId="0" applyFont="1" applyBorder="1" applyAlignment="1">
      <alignment horizontal="left" wrapText="1"/>
    </xf>
    <xf numFmtId="0" fontId="11" fillId="0" borderId="10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0E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D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workbookViewId="0"/>
  </sheetViews>
  <sheetFormatPr defaultColWidth="8.6640625" defaultRowHeight="15" customHeight="1" x14ac:dyDescent="0.3"/>
  <cols>
    <col min="1" max="1" width="30" customWidth="1"/>
    <col min="2" max="3" width="52" customWidth="1"/>
    <col min="4" max="8" width="14" customWidth="1"/>
  </cols>
  <sheetData>
    <row r="1" spans="1:3" ht="15.6" x14ac:dyDescent="0.3">
      <c r="A1" s="15" t="s">
        <v>0</v>
      </c>
    </row>
    <row r="2" spans="1:3" ht="14.4" x14ac:dyDescent="0.3">
      <c r="A2" s="16" t="s">
        <v>1</v>
      </c>
      <c r="B2" s="17"/>
      <c r="C2" s="17"/>
    </row>
    <row r="3" spans="1:3" ht="41.4" x14ac:dyDescent="0.3">
      <c r="A3" s="18" t="s">
        <v>2</v>
      </c>
      <c r="B3" s="19" t="s">
        <v>152</v>
      </c>
    </row>
    <row r="4" spans="1:3" ht="14.4" x14ac:dyDescent="0.3">
      <c r="A4" s="18" t="s">
        <v>3</v>
      </c>
      <c r="B4" s="19" t="s">
        <v>153</v>
      </c>
    </row>
    <row r="5" spans="1:3" ht="14.4" x14ac:dyDescent="0.3">
      <c r="A5" s="18" t="s">
        <v>4</v>
      </c>
      <c r="B5" s="19" t="s">
        <v>154</v>
      </c>
    </row>
    <row r="6" spans="1:3" ht="14.4" x14ac:dyDescent="0.3">
      <c r="A6" s="18" t="s">
        <v>5</v>
      </c>
      <c r="B6" s="19" t="s">
        <v>155</v>
      </c>
    </row>
    <row r="7" spans="1:3" ht="14.4" x14ac:dyDescent="0.3">
      <c r="A7" s="18" t="s">
        <v>6</v>
      </c>
      <c r="B7" s="19" t="s">
        <v>156</v>
      </c>
    </row>
    <row r="8" spans="1:3" ht="14.4" x14ac:dyDescent="0.3">
      <c r="A8" s="18" t="s">
        <v>7</v>
      </c>
      <c r="B8" s="19" t="s">
        <v>157</v>
      </c>
    </row>
    <row r="9" spans="1:3" ht="14.4" x14ac:dyDescent="0.3">
      <c r="A9" s="18" t="s">
        <v>8</v>
      </c>
      <c r="B9" s="19" t="s">
        <v>158</v>
      </c>
    </row>
    <row r="10" spans="1:3" ht="14.4" x14ac:dyDescent="0.3">
      <c r="A10" s="18" t="s">
        <v>10</v>
      </c>
      <c r="B10" s="19" t="s">
        <v>159</v>
      </c>
    </row>
    <row r="11" spans="1:3" ht="14.4" x14ac:dyDescent="0.3">
      <c r="A11" s="18" t="s">
        <v>11</v>
      </c>
      <c r="B11" s="19" t="s">
        <v>9</v>
      </c>
    </row>
    <row r="13" spans="1:3" ht="14.4" x14ac:dyDescent="0.3">
      <c r="A13" s="16" t="s">
        <v>12</v>
      </c>
      <c r="B13" s="17"/>
      <c r="C13" s="17"/>
    </row>
    <row r="14" spans="1:3" ht="14.4" x14ac:dyDescent="0.3">
      <c r="A14" s="18" t="s">
        <v>13</v>
      </c>
      <c r="B14" s="19" t="s">
        <v>160</v>
      </c>
    </row>
    <row r="15" spans="1:3" ht="14.4" x14ac:dyDescent="0.3">
      <c r="A15" s="18" t="s">
        <v>14</v>
      </c>
      <c r="B15" s="19" t="s">
        <v>159</v>
      </c>
    </row>
    <row r="16" spans="1:3" ht="14.4" x14ac:dyDescent="0.3">
      <c r="A16" s="18" t="s">
        <v>15</v>
      </c>
      <c r="B16" s="19" t="s">
        <v>161</v>
      </c>
    </row>
    <row r="18" spans="1:8" ht="14.4" x14ac:dyDescent="0.3">
      <c r="A18" s="16" t="s">
        <v>16</v>
      </c>
      <c r="B18" s="17"/>
      <c r="C18" s="17"/>
    </row>
    <row r="19" spans="1:8" ht="14.4" x14ac:dyDescent="0.3">
      <c r="A19" s="20" t="s">
        <v>17</v>
      </c>
      <c r="B19" s="20" t="s">
        <v>18</v>
      </c>
      <c r="C19" s="20" t="s">
        <v>19</v>
      </c>
    </row>
    <row r="20" spans="1:8" ht="27.6" x14ac:dyDescent="0.3">
      <c r="A20" s="21" t="s">
        <v>20</v>
      </c>
      <c r="B20" s="19" t="s">
        <v>162</v>
      </c>
      <c r="C20" s="19" t="s">
        <v>163</v>
      </c>
    </row>
    <row r="21" spans="1:8" ht="27.6" x14ac:dyDescent="0.3">
      <c r="A21" s="21" t="s">
        <v>21</v>
      </c>
      <c r="B21" s="19" t="s">
        <v>164</v>
      </c>
      <c r="C21" s="19" t="s">
        <v>165</v>
      </c>
    </row>
    <row r="22" spans="1:8" ht="14.4" x14ac:dyDescent="0.3">
      <c r="A22" s="21" t="s">
        <v>22</v>
      </c>
      <c r="B22" s="22"/>
      <c r="C22" s="22"/>
    </row>
    <row r="23" spans="1:8" ht="14.4" x14ac:dyDescent="0.3">
      <c r="A23" s="21" t="s">
        <v>23</v>
      </c>
      <c r="B23" s="19" t="s">
        <v>166</v>
      </c>
      <c r="C23" s="22"/>
    </row>
    <row r="24" spans="1:8" ht="14.4" x14ac:dyDescent="0.3">
      <c r="A24" s="23" t="s">
        <v>24</v>
      </c>
    </row>
    <row r="25" spans="1:8" ht="14.4" x14ac:dyDescent="0.3">
      <c r="A25" s="16" t="s">
        <v>25</v>
      </c>
      <c r="B25" s="17"/>
      <c r="C25" s="17"/>
    </row>
    <row r="26" spans="1:8" ht="26.4" x14ac:dyDescent="0.3">
      <c r="A26" s="18" t="s">
        <v>26</v>
      </c>
      <c r="B26" s="19" t="s">
        <v>167</v>
      </c>
    </row>
    <row r="27" spans="1:8" ht="14.4" x14ac:dyDescent="0.3">
      <c r="A27" s="18" t="s">
        <v>27</v>
      </c>
      <c r="B27" s="19" t="s">
        <v>168</v>
      </c>
    </row>
    <row r="29" spans="1:8" ht="14.4" x14ac:dyDescent="0.3">
      <c r="A29" s="16" t="s">
        <v>28</v>
      </c>
      <c r="B29" s="17"/>
      <c r="C29" s="17"/>
    </row>
    <row r="30" spans="1:8" ht="14.4" x14ac:dyDescent="0.3">
      <c r="A30" s="20" t="s">
        <v>29</v>
      </c>
      <c r="B30" s="20" t="s">
        <v>30</v>
      </c>
      <c r="C30" s="20" t="s">
        <v>31</v>
      </c>
      <c r="D30" s="20" t="s">
        <v>32</v>
      </c>
      <c r="E30" s="20" t="s">
        <v>33</v>
      </c>
      <c r="F30" s="20" t="s">
        <v>34</v>
      </c>
      <c r="G30" s="20" t="s">
        <v>35</v>
      </c>
      <c r="H30" s="20" t="s">
        <v>36</v>
      </c>
    </row>
    <row r="31" spans="1:8" ht="14.4" x14ac:dyDescent="0.3">
      <c r="A31" s="24" t="s">
        <v>155</v>
      </c>
      <c r="B31" s="25">
        <v>76.5</v>
      </c>
      <c r="C31" s="25">
        <v>135.91999999999999</v>
      </c>
      <c r="D31" s="25">
        <v>2</v>
      </c>
      <c r="E31" s="24">
        <f>C31*D31</f>
        <v>271.83999999999997</v>
      </c>
      <c r="F31" s="25"/>
      <c r="G31" s="24" t="s">
        <v>169</v>
      </c>
      <c r="H31" s="24">
        <f>E31/13</f>
        <v>20.91076923076923</v>
      </c>
    </row>
    <row r="32" spans="1:8" ht="14.4" x14ac:dyDescent="0.3">
      <c r="A32" s="23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8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88671875" customWidth="1"/>
    <col min="6" max="6" width="8.5546875" customWidth="1"/>
    <col min="7" max="7" width="9.21875" customWidth="1"/>
    <col min="9" max="9" width="7.5546875" customWidth="1"/>
    <col min="10" max="10" width="10.2187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26" t="s">
        <v>38</v>
      </c>
      <c r="C1" s="27" t="str">
        <f>Лист1!B14</f>
        <v>АО "ОЭК"</v>
      </c>
      <c r="D1" s="27"/>
      <c r="E1" s="27"/>
      <c r="F1" s="27"/>
      <c r="G1" s="28"/>
      <c r="H1" s="27"/>
      <c r="I1" s="27"/>
      <c r="J1" s="27"/>
      <c r="K1" s="27"/>
    </row>
    <row r="2" spans="1:26" ht="13.5" customHeight="1" x14ac:dyDescent="0.3">
      <c r="B2" s="26" t="s">
        <v>39</v>
      </c>
      <c r="C2" s="27" t="str">
        <f>Лист1!B15</f>
        <v>ООО «СПЕЦИНЖСТРОЙ»</v>
      </c>
      <c r="D2" s="27"/>
      <c r="E2" s="27"/>
      <c r="F2" s="27"/>
      <c r="G2" s="28"/>
      <c r="H2" s="27"/>
      <c r="I2" s="27"/>
      <c r="J2" s="27"/>
      <c r="K2" s="27"/>
    </row>
    <row r="3" spans="1:26" ht="50.25" customHeight="1" x14ac:dyDescent="0.3">
      <c r="B3" s="29" t="s">
        <v>40</v>
      </c>
      <c r="C3" s="14" t="str">
        <f>Лист1!B4</f>
        <v>1КЛ: 20кВ ПС «Красносельская» до РП 1-45</v>
      </c>
      <c r="D3" s="14"/>
      <c r="E3" s="14"/>
      <c r="F3" s="14"/>
      <c r="G3" s="14"/>
      <c r="H3" s="14"/>
      <c r="I3" s="14"/>
      <c r="J3" s="14"/>
      <c r="K3" s="14"/>
    </row>
    <row r="4" spans="1:26" ht="13.5" customHeight="1" x14ac:dyDescent="0.3">
      <c r="B4" s="29" t="s">
        <v>41</v>
      </c>
      <c r="C4" s="30" t="str">
        <f>Лист1!B11</f>
        <v>03.06.2024 г.</v>
      </c>
      <c r="G4" s="13"/>
      <c r="H4" s="13"/>
      <c r="I4" s="13"/>
      <c r="J4" s="13"/>
      <c r="K4" s="31"/>
    </row>
    <row r="5" spans="1:26" ht="9.75" customHeight="1" x14ac:dyDescent="0.3">
      <c r="A5" s="12"/>
      <c r="B5" s="12"/>
      <c r="G5" s="11"/>
      <c r="H5" s="11"/>
      <c r="I5" s="11"/>
      <c r="J5" s="11"/>
      <c r="K5" s="11"/>
      <c r="O5" s="33"/>
      <c r="P5" s="33"/>
      <c r="Q5" s="33"/>
      <c r="R5" s="33"/>
      <c r="S5" s="33"/>
    </row>
    <row r="6" spans="1:26" ht="15.7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6" ht="15.75" customHeight="1" x14ac:dyDescent="0.3">
      <c r="A7" s="10" t="s">
        <v>43</v>
      </c>
      <c r="B7" s="10"/>
      <c r="C7" s="10"/>
      <c r="D7" s="10"/>
      <c r="E7" s="10"/>
      <c r="F7" s="10"/>
      <c r="G7" s="10"/>
      <c r="H7" s="10"/>
      <c r="I7" s="10"/>
      <c r="J7" s="10"/>
      <c r="K7" s="10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1.2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36"/>
      <c r="B10" s="36"/>
      <c r="C10" s="36"/>
      <c r="D10" s="32"/>
      <c r="E10" s="32"/>
      <c r="F10" s="32"/>
      <c r="G10" s="32"/>
      <c r="H10" s="32"/>
      <c r="I10" s="32"/>
      <c r="J10" s="32"/>
      <c r="K10" s="32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5.75" customHeight="1" x14ac:dyDescent="0.3">
      <c r="A11" s="9" t="s">
        <v>45</v>
      </c>
      <c r="B11" s="9"/>
      <c r="C11" s="9"/>
      <c r="D11" s="9"/>
      <c r="E11" s="9"/>
      <c r="F11" s="36"/>
      <c r="G11" s="36"/>
      <c r="H11" s="36"/>
      <c r="I11" s="36"/>
      <c r="J11" s="36"/>
      <c r="K11" s="36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2" t="str">
        <f>Лист1!B21</f>
        <v>Начальник участка ООО «СПЕЦИНЖСТРОЙ» Щеглов Р.А.</v>
      </c>
      <c r="B12" s="38"/>
      <c r="D12" s="32"/>
      <c r="E12" s="32"/>
      <c r="F12" s="32"/>
      <c r="G12" s="32"/>
      <c r="H12" s="32"/>
      <c r="I12" s="32"/>
      <c r="J12" s="32"/>
      <c r="K12" s="3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 x14ac:dyDescent="0.3">
      <c r="A13" s="12" t="s">
        <v>46</v>
      </c>
      <c r="B13" s="12"/>
      <c r="C13" s="12"/>
      <c r="D13" s="12"/>
      <c r="E13" s="12"/>
      <c r="F13" s="34"/>
      <c r="G13" s="34"/>
      <c r="H13" s="34"/>
      <c r="I13" s="34"/>
      <c r="J13" s="34"/>
      <c r="K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 x14ac:dyDescent="0.3">
      <c r="A14" s="36" t="s">
        <v>47</v>
      </c>
      <c r="B14" s="37"/>
      <c r="C14" s="36"/>
      <c r="D14" s="37"/>
      <c r="E14" s="39"/>
      <c r="F14" s="39"/>
      <c r="G14" s="39"/>
      <c r="H14" s="39"/>
      <c r="I14" s="39"/>
      <c r="J14" s="8" t="str">
        <f>Лист1!B6</f>
        <v>№35.1</v>
      </c>
      <c r="K14" s="8"/>
      <c r="L14" s="8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 x14ac:dyDescent="0.3">
      <c r="A15" s="36" t="s">
        <v>48</v>
      </c>
      <c r="D15" s="41" t="str">
        <f>Лист1!B5</f>
        <v>По адресу: г.Москва, ул. Пресненский Вал, д.16 стр.1</v>
      </c>
      <c r="E15" s="42"/>
      <c r="F15" s="42"/>
      <c r="G15" s="43"/>
      <c r="H15" s="43"/>
      <c r="I15" s="43"/>
      <c r="J15" s="43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 x14ac:dyDescent="0.3">
      <c r="A16" s="32"/>
      <c r="B16" s="34"/>
      <c r="C16" s="36"/>
      <c r="D16" s="34"/>
      <c r="E16" s="34"/>
      <c r="F16" s="34"/>
      <c r="G16" s="34"/>
      <c r="H16" s="34"/>
      <c r="I16" s="34"/>
      <c r="J16" s="34"/>
      <c r="K16" s="3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 x14ac:dyDescent="0.3">
      <c r="A17" s="44" t="s">
        <v>49</v>
      </c>
      <c r="B17" s="37"/>
      <c r="C17" s="36"/>
      <c r="D17" s="37"/>
      <c r="E17" s="37"/>
      <c r="F17" s="37"/>
      <c r="G17" s="37"/>
      <c r="H17" s="37"/>
      <c r="I17" s="37"/>
      <c r="J17" s="37"/>
      <c r="K17" s="3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 x14ac:dyDescent="0.3">
      <c r="A18" s="45" t="s">
        <v>50</v>
      </c>
      <c r="B18" s="37"/>
      <c r="C18" s="36"/>
      <c r="D18" s="37"/>
      <c r="E18" s="37"/>
      <c r="F18" s="37"/>
      <c r="G18" s="37"/>
      <c r="H18" s="37"/>
      <c r="I18" s="37"/>
      <c r="J18" s="37"/>
      <c r="K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3">
      <c r="A19" s="45" t="s">
        <v>51</v>
      </c>
      <c r="B19" s="37"/>
      <c r="C19" s="36"/>
      <c r="D19" s="37"/>
      <c r="E19" s="37"/>
      <c r="F19" s="37"/>
      <c r="G19" s="37"/>
      <c r="H19" s="37"/>
      <c r="I19" s="37"/>
      <c r="J19" s="37"/>
      <c r="K19" s="37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3">
      <c r="A20" s="32"/>
      <c r="B20" s="37"/>
      <c r="C20" s="36"/>
      <c r="D20" s="37"/>
      <c r="E20" s="37"/>
      <c r="F20" s="37"/>
      <c r="G20" s="37"/>
      <c r="H20" s="37"/>
      <c r="I20" s="37"/>
      <c r="J20" s="37"/>
      <c r="K20" s="37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3">
      <c r="A21" s="45" t="s">
        <v>52</v>
      </c>
      <c r="B21" s="37"/>
      <c r="C21" s="36"/>
      <c r="D21" s="37"/>
      <c r="E21" s="37"/>
      <c r="F21" s="8" t="str">
        <f>Лист1!B6</f>
        <v>№35.1</v>
      </c>
      <c r="G21" s="8"/>
      <c r="H21" s="8"/>
      <c r="I21" s="32" t="s">
        <v>53</v>
      </c>
      <c r="J21" s="37"/>
      <c r="K21" s="37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 x14ac:dyDescent="0.3">
      <c r="A22" s="45" t="s">
        <v>54</v>
      </c>
      <c r="B22" s="37"/>
      <c r="C22" s="36"/>
      <c r="D22" s="37"/>
      <c r="E22" s="37"/>
      <c r="F22" s="37"/>
      <c r="G22" s="37"/>
      <c r="H22" s="37"/>
      <c r="I22" s="37"/>
      <c r="J22" s="37"/>
      <c r="K22" s="3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3">
      <c r="A23" s="45"/>
      <c r="B23" s="37"/>
      <c r="C23" s="36"/>
      <c r="D23" s="37"/>
      <c r="E23" s="37"/>
      <c r="F23" s="37"/>
      <c r="G23" s="37"/>
      <c r="H23" s="37"/>
      <c r="I23" s="37"/>
      <c r="J23" s="37"/>
      <c r="K23" s="3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 x14ac:dyDescent="0.3"/>
    <row r="25" spans="1:26" ht="15.75" customHeight="1" x14ac:dyDescent="0.3"/>
    <row r="26" spans="1:26" ht="15.75" customHeight="1" x14ac:dyDescent="0.3">
      <c r="A26" s="32"/>
      <c r="C26" s="32"/>
      <c r="D26" s="32"/>
      <c r="E26" s="32"/>
      <c r="F26" s="32"/>
      <c r="G26" s="32"/>
      <c r="H26" s="32"/>
      <c r="I26" s="32"/>
    </row>
    <row r="27" spans="1:26" ht="15.75" customHeight="1" x14ac:dyDescent="0.3">
      <c r="A27" s="32"/>
      <c r="C27" s="32"/>
      <c r="D27" s="32"/>
      <c r="E27" s="32"/>
      <c r="F27" s="32"/>
      <c r="G27" s="32"/>
      <c r="H27" s="32"/>
      <c r="I27" s="32"/>
    </row>
    <row r="28" spans="1:26" ht="15.75" customHeight="1" x14ac:dyDescent="0.3">
      <c r="A28" s="32" t="str">
        <f>Лист1!C21</f>
        <v>Начальник участка ООО «СПЕЦИНЖСТРОЙ» ___________________Щеглов Р.А.</v>
      </c>
      <c r="C28" s="32"/>
      <c r="D28" s="32"/>
      <c r="E28" s="32"/>
      <c r="F28" s="32"/>
      <c r="G28" s="32"/>
      <c r="H28" s="32"/>
      <c r="I28" s="32"/>
    </row>
    <row r="29" spans="1:26" ht="15.75" customHeight="1" x14ac:dyDescent="0.3">
      <c r="A29" s="32"/>
      <c r="C29" s="32"/>
      <c r="D29" s="32"/>
      <c r="E29" s="32"/>
      <c r="F29" s="32"/>
      <c r="G29" s="32"/>
      <c r="H29" s="32"/>
      <c r="I29" s="32"/>
    </row>
    <row r="30" spans="1:26" ht="15.75" customHeight="1" x14ac:dyDescent="0.3">
      <c r="A30" s="32"/>
      <c r="C30" s="32"/>
      <c r="D30" s="32"/>
      <c r="E30" s="32"/>
      <c r="F30" s="32"/>
      <c r="G30" s="32"/>
      <c r="H30" s="32"/>
      <c r="I30" s="32"/>
    </row>
    <row r="31" spans="1:26" ht="15.75" customHeight="1" x14ac:dyDescent="0.3">
      <c r="A31" s="32">
        <f>Лист1!C22</f>
        <v>0</v>
      </c>
      <c r="C31" s="32"/>
      <c r="D31" s="32"/>
      <c r="E31" s="32"/>
      <c r="F31" s="32"/>
      <c r="G31" s="32"/>
      <c r="H31" s="32"/>
      <c r="I31" s="32"/>
    </row>
    <row r="32" spans="1:26" ht="15.75" customHeight="1" x14ac:dyDescent="0.3">
      <c r="A32" s="32"/>
      <c r="C32" s="32"/>
      <c r="D32" s="32"/>
      <c r="E32" s="32"/>
      <c r="F32" s="32"/>
      <c r="G32" s="32"/>
      <c r="H32" s="32"/>
      <c r="I32" s="32"/>
    </row>
    <row r="33" spans="1:8" ht="15.75" customHeight="1" x14ac:dyDescent="0.3">
      <c r="A33" s="12" t="s">
        <v>55</v>
      </c>
      <c r="B33" s="12"/>
      <c r="C33" s="12"/>
      <c r="D33" s="12"/>
      <c r="E33" s="12"/>
      <c r="F33" s="12"/>
      <c r="G33" s="12"/>
      <c r="H33" s="12"/>
    </row>
    <row r="34" spans="1:8" ht="15.75" customHeight="1" x14ac:dyDescent="0.3"/>
    <row r="35" spans="1:8" ht="15.75" customHeight="1" x14ac:dyDescent="0.3"/>
    <row r="36" spans="1:8" ht="15.75" customHeight="1" x14ac:dyDescent="0.3"/>
    <row r="37" spans="1:8" ht="15.75" customHeight="1" x14ac:dyDescent="0.3"/>
    <row r="38" spans="1:8" ht="15.75" customHeight="1" x14ac:dyDescent="0.3"/>
    <row r="39" spans="1:8" ht="15.75" customHeight="1" x14ac:dyDescent="0.3"/>
    <row r="40" spans="1:8" ht="15.75" customHeight="1" x14ac:dyDescent="0.3"/>
    <row r="41" spans="1:8" ht="15.75" customHeight="1" x14ac:dyDescent="0.3"/>
    <row r="42" spans="1:8" ht="15.75" customHeight="1" x14ac:dyDescent="0.3"/>
    <row r="43" spans="1:8" ht="15.75" customHeight="1" x14ac:dyDescent="0.3"/>
    <row r="44" spans="1:8" ht="15.75" customHeight="1" x14ac:dyDescent="0.3"/>
    <row r="45" spans="1:8" ht="15.75" customHeight="1" x14ac:dyDescent="0.3"/>
    <row r="46" spans="1:8" ht="15.75" customHeight="1" x14ac:dyDescent="0.3"/>
    <row r="47" spans="1:8" ht="15.75" customHeight="1" x14ac:dyDescent="0.3"/>
    <row r="48" spans="1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</sheetData>
  <mergeCells count="11">
    <mergeCell ref="A33:H33"/>
    <mergeCell ref="A7:K7"/>
    <mergeCell ref="A11:E11"/>
    <mergeCell ref="A13:E13"/>
    <mergeCell ref="J14:L14"/>
    <mergeCell ref="F21:H21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26" t="s">
        <v>38</v>
      </c>
      <c r="C1" s="27" t="str">
        <f>Лист1!B14</f>
        <v>АО "ОЭК"</v>
      </c>
      <c r="D1" s="27"/>
      <c r="E1" s="27"/>
      <c r="F1" s="27"/>
      <c r="G1" s="28"/>
      <c r="H1" s="27"/>
      <c r="I1" s="27"/>
      <c r="J1" s="27"/>
      <c r="K1" s="27"/>
    </row>
    <row r="2" spans="1:26" ht="13.5" customHeight="1" x14ac:dyDescent="0.3">
      <c r="B2" s="26" t="s">
        <v>56</v>
      </c>
      <c r="C2" s="27" t="str">
        <f>Лист1!B15</f>
        <v>ООО «СПЕЦИНЖСТРОЙ»</v>
      </c>
      <c r="D2" s="27"/>
      <c r="E2" s="27"/>
      <c r="F2" s="27"/>
      <c r="G2" s="28"/>
      <c r="H2" s="27"/>
      <c r="I2" s="27"/>
      <c r="J2" s="27"/>
      <c r="K2" s="27"/>
    </row>
    <row r="3" spans="1:26" ht="51.75" customHeight="1" x14ac:dyDescent="0.3">
      <c r="B3" s="29" t="s">
        <v>40</v>
      </c>
      <c r="C3" s="14" t="str">
        <f>Лист1!B4</f>
        <v>1КЛ: 20кВ ПС «Красносельская» до РП 1-45</v>
      </c>
      <c r="D3" s="14"/>
      <c r="E3" s="14"/>
      <c r="F3" s="14"/>
      <c r="G3" s="14"/>
      <c r="H3" s="14"/>
      <c r="I3" s="14"/>
      <c r="J3" s="14"/>
      <c r="K3" s="14"/>
    </row>
    <row r="4" spans="1:26" ht="13.5" customHeight="1" x14ac:dyDescent="0.3">
      <c r="B4" s="29" t="s">
        <v>41</v>
      </c>
      <c r="C4" s="30" t="str">
        <f>Лист1!B11</f>
        <v>03.06.2024 г.</v>
      </c>
      <c r="G4" s="13"/>
      <c r="H4" s="13"/>
      <c r="I4" s="13"/>
      <c r="J4" s="13"/>
      <c r="K4" s="31"/>
    </row>
    <row r="5" spans="1:26" ht="9.75" customHeight="1" x14ac:dyDescent="0.3">
      <c r="A5" s="12"/>
      <c r="B5" s="12"/>
      <c r="G5" s="11"/>
      <c r="H5" s="11"/>
      <c r="I5" s="11"/>
      <c r="J5" s="11"/>
      <c r="K5" s="11"/>
      <c r="O5" s="33"/>
      <c r="P5" s="33"/>
      <c r="Q5" s="33"/>
      <c r="R5" s="33"/>
      <c r="S5" s="33"/>
    </row>
    <row r="6" spans="1:26" ht="13.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6" ht="13.5" customHeight="1" x14ac:dyDescent="0.3">
      <c r="A7" s="10" t="s">
        <v>57</v>
      </c>
      <c r="B7" s="10"/>
      <c r="C7" s="10"/>
      <c r="D7" s="10"/>
      <c r="E7" s="10"/>
      <c r="F7" s="10"/>
      <c r="G7" s="10"/>
      <c r="H7" s="10"/>
      <c r="I7" s="10"/>
      <c r="J7" s="10"/>
      <c r="K7" s="10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3.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3.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3.5" customHeight="1" x14ac:dyDescent="0.3">
      <c r="A10" s="36"/>
      <c r="B10" s="38"/>
      <c r="D10" s="32"/>
      <c r="E10" s="32"/>
      <c r="F10" s="32"/>
      <c r="G10" s="32"/>
      <c r="H10" s="32"/>
      <c r="I10" s="32"/>
      <c r="J10" s="32"/>
      <c r="K10" s="32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3.5" customHeight="1" x14ac:dyDescent="0.3">
      <c r="A11" s="36" t="str">
        <f>Лист1!B20</f>
        <v>Мастер по ЭРС АО "ОЭК" Медведев А.С.</v>
      </c>
      <c r="B11" s="38"/>
      <c r="D11" s="36"/>
      <c r="E11" s="36"/>
      <c r="F11" s="36"/>
      <c r="G11" s="36"/>
      <c r="H11" s="36"/>
      <c r="I11" s="36"/>
      <c r="J11" s="36"/>
      <c r="K11" s="36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3.5" customHeight="1" x14ac:dyDescent="0.3">
      <c r="A12" s="32" t="str">
        <f>Лист1!B21</f>
        <v>Начальник участка ООО «СПЕЦИНЖСТРОЙ» Щеглов Р.А.</v>
      </c>
      <c r="B12" s="38"/>
      <c r="D12" s="32"/>
      <c r="E12" s="32"/>
      <c r="F12" s="32"/>
      <c r="G12" s="32"/>
      <c r="H12" s="32"/>
      <c r="I12" s="32"/>
      <c r="J12" s="32"/>
      <c r="K12" s="3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3.5" customHeight="1" x14ac:dyDescent="0.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 x14ac:dyDescent="0.3">
      <c r="A14" s="33" t="s">
        <v>58</v>
      </c>
      <c r="B14" s="37"/>
      <c r="C14" s="36"/>
      <c r="D14" s="37"/>
      <c r="E14" s="8" t="str">
        <f>Лист1!B10</f>
        <v>ООО «СПЕЦИНЖСТРОЙ»</v>
      </c>
      <c r="F14" s="8"/>
      <c r="G14" s="8"/>
      <c r="H14" s="39"/>
      <c r="I14" s="39"/>
      <c r="J14" s="39"/>
      <c r="K14" s="36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 x14ac:dyDescent="0.3">
      <c r="A15" s="39" t="s">
        <v>59</v>
      </c>
      <c r="B15" s="39"/>
      <c r="C15" s="39"/>
      <c r="D15" s="36"/>
      <c r="E15" s="36"/>
      <c r="F15" s="39"/>
      <c r="G15" s="39"/>
      <c r="H15" s="39"/>
      <c r="I15" s="39"/>
      <c r="J15" s="36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3.5" customHeight="1" x14ac:dyDescent="0.3">
      <c r="A16" s="32" t="s">
        <v>60</v>
      </c>
      <c r="B16" s="37"/>
      <c r="C16" s="36"/>
      <c r="D16" s="34"/>
      <c r="E16" s="34"/>
      <c r="F16" s="34"/>
      <c r="G16" s="34"/>
      <c r="H16" s="34"/>
      <c r="I16" s="34"/>
      <c r="J16" s="34"/>
      <c r="K16" s="3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4.25" customHeight="1" x14ac:dyDescent="0.3">
      <c r="A17" s="32" t="s">
        <v>61</v>
      </c>
      <c r="B17" s="37"/>
      <c r="C17" s="36"/>
      <c r="D17" s="39"/>
      <c r="E17" s="39"/>
      <c r="F17" s="8" t="str">
        <f>Лист1!B6</f>
        <v>№35.1</v>
      </c>
      <c r="G17" s="8"/>
      <c r="H17" s="8"/>
      <c r="I17" s="32" t="s">
        <v>62</v>
      </c>
      <c r="J17" s="37"/>
      <c r="K17" s="3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 x14ac:dyDescent="0.3">
      <c r="A18" s="32" t="s">
        <v>63</v>
      </c>
      <c r="B18" s="37"/>
      <c r="C18" s="7" t="str">
        <f>Лист1!B5</f>
        <v>По адресу: г.Москва, ул. Пресненский Вал, д.16 стр.1</v>
      </c>
      <c r="D18" s="7"/>
      <c r="E18" s="7"/>
      <c r="F18" s="7"/>
      <c r="G18" s="7"/>
      <c r="H18" s="7"/>
      <c r="I18" s="32"/>
      <c r="J18" s="37"/>
      <c r="K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4.25" customHeight="1" x14ac:dyDescent="0.3">
      <c r="A19" s="44"/>
      <c r="B19" s="44"/>
      <c r="C19" s="36"/>
      <c r="D19" s="46"/>
      <c r="E19" s="46"/>
      <c r="F19" s="47"/>
      <c r="G19" s="46"/>
      <c r="H19" s="46"/>
      <c r="I19" s="47"/>
      <c r="J19" s="37"/>
      <c r="K19" s="37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4.25" customHeight="1" x14ac:dyDescent="0.3">
      <c r="A20" s="32" t="s">
        <v>64</v>
      </c>
      <c r="B20" s="32"/>
      <c r="C20" s="36"/>
      <c r="D20" s="8" t="str">
        <f>Лист1!B16</f>
        <v>ООО "СПЕЦИНЖСТРОЙ"</v>
      </c>
      <c r="E20" s="8"/>
      <c r="F20" s="8"/>
      <c r="G20" s="46" t="s">
        <v>65</v>
      </c>
      <c r="H20" s="42" t="str">
        <f>Лист1!B7</f>
        <v>1146-КС-21-ЭС2</v>
      </c>
      <c r="I20" s="42"/>
      <c r="J20" s="42"/>
      <c r="K20" s="37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4.25" customHeight="1" x14ac:dyDescent="0.3">
      <c r="A21" s="32"/>
      <c r="B21" s="32"/>
      <c r="C21" s="36"/>
      <c r="D21" s="47"/>
      <c r="E21" s="47"/>
      <c r="F21" s="47"/>
      <c r="G21" s="46"/>
      <c r="H21" s="47"/>
      <c r="I21" s="47"/>
      <c r="J21" s="47"/>
      <c r="K21" s="37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4.25" customHeight="1" x14ac:dyDescent="0.3">
      <c r="A22" s="32" t="s">
        <v>66</v>
      </c>
      <c r="B22" s="32"/>
      <c r="C22" s="36"/>
      <c r="D22" s="47"/>
      <c r="E22" s="7" t="str">
        <f>Лист1!B27</f>
        <v>d=225 мм.</v>
      </c>
      <c r="F22" s="7"/>
      <c r="G22" s="7"/>
      <c r="H22" s="7"/>
      <c r="I22" s="7"/>
      <c r="J22" s="7"/>
      <c r="K22" s="3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3.5" customHeight="1" x14ac:dyDescent="0.3">
      <c r="A23" s="44"/>
      <c r="B23" s="44"/>
      <c r="C23" s="36"/>
      <c r="D23" s="46"/>
      <c r="E23" s="27"/>
      <c r="F23" s="27"/>
      <c r="G23" s="46"/>
      <c r="H23" s="36"/>
      <c r="I23" s="36"/>
      <c r="J23" s="37"/>
      <c r="K23" s="3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4.25" customHeight="1" x14ac:dyDescent="0.3">
      <c r="A24" s="32" t="s">
        <v>67</v>
      </c>
      <c r="B24" s="44"/>
      <c r="C24" s="36"/>
      <c r="D24" s="6" t="str">
        <f>Лист1!B8</f>
        <v>04.12.2025</v>
      </c>
      <c r="E24" s="6"/>
      <c r="F24" s="6"/>
      <c r="G24" s="46"/>
      <c r="H24" s="27"/>
      <c r="I24" s="27"/>
      <c r="J24" s="37"/>
      <c r="K24" s="37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3.5" customHeight="1" x14ac:dyDescent="0.3">
      <c r="A25" s="44"/>
      <c r="B25" s="44"/>
      <c r="C25" s="36"/>
      <c r="D25" s="27"/>
      <c r="E25" s="37"/>
      <c r="F25" s="37"/>
      <c r="G25" s="37"/>
      <c r="H25" s="37"/>
      <c r="I25" s="37"/>
      <c r="J25" s="37"/>
      <c r="K25" s="37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 x14ac:dyDescent="0.3">
      <c r="A26" s="32" t="s">
        <v>68</v>
      </c>
      <c r="B26" s="44"/>
      <c r="C26" s="36"/>
      <c r="D26" s="5" t="str">
        <f>Лист1!B9</f>
        <v>12.12.2025</v>
      </c>
      <c r="E26" s="5"/>
      <c r="F26" s="5"/>
      <c r="G26" s="37"/>
      <c r="H26" s="37"/>
      <c r="I26" s="37"/>
      <c r="J26" s="37"/>
      <c r="K26" s="37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3.5" customHeight="1" x14ac:dyDescent="0.3">
      <c r="A27" s="44"/>
      <c r="B27" s="44"/>
      <c r="C27" s="36"/>
      <c r="D27" s="37"/>
      <c r="E27" s="37"/>
      <c r="F27" s="37"/>
      <c r="G27" s="37"/>
      <c r="H27" s="37"/>
      <c r="I27" s="37"/>
      <c r="J27" s="37"/>
      <c r="K27" s="37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3.5" customHeight="1" x14ac:dyDescent="0.3">
      <c r="A28" s="10" t="s">
        <v>69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3.5" customHeight="1" x14ac:dyDescent="0.3">
      <c r="A29" s="32" t="s">
        <v>70</v>
      </c>
      <c r="B29" s="44"/>
      <c r="C29" s="36"/>
      <c r="D29" s="37"/>
      <c r="E29" s="37"/>
      <c r="F29" s="37"/>
      <c r="G29" s="37"/>
      <c r="H29" s="37"/>
      <c r="I29" s="37"/>
      <c r="J29" s="37"/>
      <c r="K29" s="37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4.25" customHeight="1" x14ac:dyDescent="0.3">
      <c r="A30" s="32" t="s">
        <v>71</v>
      </c>
      <c r="B30" s="44"/>
      <c r="C30" s="36"/>
      <c r="D30" s="37"/>
      <c r="E30" s="39"/>
      <c r="F30" s="39"/>
      <c r="G30" s="39"/>
      <c r="H30" s="44"/>
      <c r="I30" s="37"/>
      <c r="J30" s="37"/>
      <c r="K30" s="37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4.25" customHeight="1" x14ac:dyDescent="0.3">
      <c r="A31" s="44"/>
      <c r="B31" s="44"/>
      <c r="C31" s="36"/>
      <c r="D31" s="37"/>
      <c r="E31" s="47"/>
      <c r="F31" s="47"/>
      <c r="G31" s="47"/>
      <c r="H31" s="44"/>
      <c r="I31" s="37"/>
      <c r="J31" s="37"/>
      <c r="K31" s="37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3.5" customHeight="1" x14ac:dyDescent="0.3">
      <c r="A32" s="44"/>
      <c r="B32" s="44"/>
      <c r="C32" s="36"/>
      <c r="D32" s="37"/>
      <c r="E32" s="37"/>
      <c r="F32" s="37"/>
      <c r="G32" s="37"/>
      <c r="H32" s="37"/>
      <c r="I32" s="37"/>
      <c r="J32" s="37"/>
      <c r="K32" s="37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5" spans="1:9" ht="13.5" customHeight="1" x14ac:dyDescent="0.3">
      <c r="A35" s="32" t="str">
        <f>Лист1!C20</f>
        <v>Мастер по эксплуатации РС ЦРЭС АО «ОЭК» ___________________Медведев А.С.</v>
      </c>
      <c r="C35" s="32"/>
      <c r="D35" s="32"/>
      <c r="E35" s="32"/>
      <c r="F35" s="32"/>
      <c r="G35" s="32"/>
      <c r="H35" s="32"/>
      <c r="I35" s="32"/>
    </row>
    <row r="36" spans="1:9" ht="13.5" customHeight="1" x14ac:dyDescent="0.3">
      <c r="A36" s="32"/>
      <c r="C36" s="32"/>
      <c r="D36" s="32"/>
      <c r="E36" s="32"/>
      <c r="F36" s="32"/>
      <c r="G36" s="32"/>
      <c r="H36" s="32"/>
      <c r="I36" s="32"/>
    </row>
    <row r="37" spans="1:9" ht="13.5" customHeight="1" x14ac:dyDescent="0.3">
      <c r="A37" s="32" t="str">
        <f>Лист1!C21</f>
        <v>Начальник участка ООО «СПЕЦИНЖСТРОЙ» ___________________Щеглов Р.А.</v>
      </c>
      <c r="C37" s="32"/>
      <c r="D37" s="32"/>
      <c r="E37" s="32"/>
      <c r="F37" s="32"/>
      <c r="G37" s="32"/>
      <c r="H37" s="32"/>
      <c r="I37" s="32"/>
    </row>
    <row r="38" spans="1:9" ht="13.5" customHeight="1" x14ac:dyDescent="0.3">
      <c r="A38" s="32"/>
      <c r="C38" s="32"/>
      <c r="D38" s="32"/>
      <c r="E38" s="32"/>
      <c r="F38" s="32"/>
      <c r="G38" s="32"/>
      <c r="H38" s="32"/>
      <c r="I38" s="32"/>
    </row>
    <row r="39" spans="1:9" ht="13.5" customHeight="1" x14ac:dyDescent="0.3">
      <c r="A39" s="32"/>
      <c r="C39" s="32"/>
      <c r="D39" s="32"/>
      <c r="E39" s="32"/>
      <c r="F39" s="32"/>
      <c r="G39" s="32"/>
      <c r="H39" s="32"/>
      <c r="I39" s="32"/>
    </row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2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20" customWidth="1"/>
    <col min="5" max="5" width="8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4.88671875" customWidth="1"/>
    <col min="12" max="12" width="0.21875" customWidth="1"/>
    <col min="13" max="13" width="9.109375" customWidth="1"/>
  </cols>
  <sheetData>
    <row r="1" spans="1:26" ht="13.5" customHeight="1" x14ac:dyDescent="0.3">
      <c r="B1" s="26" t="s">
        <v>38</v>
      </c>
      <c r="C1" s="27" t="str">
        <f>Лист1!B14</f>
        <v>АО "ОЭК"</v>
      </c>
      <c r="D1" s="27"/>
      <c r="E1" s="27"/>
      <c r="F1" s="27"/>
      <c r="G1" s="28"/>
      <c r="H1" s="27"/>
      <c r="I1" s="27"/>
      <c r="J1" s="27"/>
      <c r="K1" s="27"/>
    </row>
    <row r="2" spans="1:26" ht="13.5" customHeight="1" x14ac:dyDescent="0.3">
      <c r="B2" s="26" t="s">
        <v>56</v>
      </c>
      <c r="C2" s="27" t="str">
        <f>Лист1!B15</f>
        <v>ООО «СПЕЦИНЖСТРОЙ»</v>
      </c>
      <c r="D2" s="27"/>
      <c r="E2" s="27"/>
      <c r="F2" s="27"/>
      <c r="G2" s="28"/>
      <c r="H2" s="27"/>
      <c r="I2" s="27"/>
      <c r="J2" s="27"/>
      <c r="K2" s="27"/>
    </row>
    <row r="3" spans="1:26" ht="39.75" customHeight="1" x14ac:dyDescent="0.3">
      <c r="B3" s="29" t="s">
        <v>40</v>
      </c>
      <c r="C3" s="14" t="str">
        <f>Лист1!B4</f>
        <v>1КЛ: 20кВ ПС «Красносельская» до РП 1-45</v>
      </c>
      <c r="D3" s="14"/>
      <c r="E3" s="14"/>
      <c r="F3" s="14"/>
      <c r="G3" s="14"/>
      <c r="H3" s="14"/>
      <c r="I3" s="14"/>
      <c r="J3" s="14"/>
      <c r="K3" s="14"/>
    </row>
    <row r="4" spans="1:26" ht="13.5" customHeight="1" x14ac:dyDescent="0.3">
      <c r="B4" s="29" t="s">
        <v>41</v>
      </c>
      <c r="C4" s="30" t="str">
        <f>Лист1!B11</f>
        <v>03.06.2024 г.</v>
      </c>
      <c r="G4" s="13"/>
      <c r="H4" s="13"/>
      <c r="I4" s="13"/>
      <c r="J4" s="13"/>
      <c r="K4" s="31"/>
    </row>
    <row r="5" spans="1:26" ht="9.75" customHeight="1" x14ac:dyDescent="0.3">
      <c r="A5" s="12"/>
      <c r="B5" s="12"/>
      <c r="G5" s="11"/>
      <c r="H5" s="11"/>
      <c r="I5" s="11"/>
      <c r="J5" s="11"/>
      <c r="K5" s="11"/>
      <c r="O5" s="33"/>
      <c r="P5" s="33"/>
      <c r="Q5" s="33"/>
      <c r="R5" s="33"/>
      <c r="S5" s="33"/>
    </row>
    <row r="6" spans="1:26" ht="13.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6" ht="13.5" customHeight="1" x14ac:dyDescent="0.3">
      <c r="A7" s="10" t="s">
        <v>72</v>
      </c>
      <c r="B7" s="10"/>
      <c r="C7" s="10"/>
      <c r="D7" s="10"/>
      <c r="E7" s="10"/>
      <c r="F7" s="10"/>
      <c r="G7" s="10"/>
      <c r="H7" s="10"/>
      <c r="I7" s="10"/>
      <c r="J7" s="10"/>
      <c r="K7" s="10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3.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3.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3.5" customHeight="1" x14ac:dyDescent="0.3">
      <c r="A10" s="36"/>
      <c r="B10" s="36"/>
      <c r="C10" s="36"/>
      <c r="D10" s="32"/>
      <c r="E10" s="32"/>
      <c r="F10" s="32"/>
      <c r="G10" s="32"/>
      <c r="H10" s="32"/>
      <c r="I10" s="32"/>
      <c r="J10" s="32"/>
      <c r="K10" s="32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3.5" customHeight="1" x14ac:dyDescent="0.3">
      <c r="A11" s="36" t="str">
        <f>Лист1!B20</f>
        <v>Мастер по ЭРС АО "ОЭК" Медведев А.С.</v>
      </c>
      <c r="B11" s="38"/>
      <c r="D11" s="36"/>
      <c r="E11" s="36"/>
      <c r="F11" s="36"/>
      <c r="G11" s="36"/>
      <c r="H11" s="36"/>
      <c r="I11" s="36"/>
      <c r="J11" s="36"/>
      <c r="K11" s="36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3.5" customHeight="1" x14ac:dyDescent="0.3">
      <c r="A12" s="32" t="str">
        <f>Лист1!B21</f>
        <v>Начальник участка ООО «СПЕЦИНЖСТРОЙ» Щеглов Р.А.</v>
      </c>
      <c r="B12" s="38"/>
      <c r="D12" s="32"/>
      <c r="E12" s="32"/>
      <c r="F12" s="32"/>
      <c r="G12" s="32"/>
      <c r="H12" s="32"/>
      <c r="I12" s="32"/>
      <c r="J12" s="32"/>
      <c r="K12" s="3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3.5" customHeight="1" x14ac:dyDescent="0.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4.25" customHeight="1" x14ac:dyDescent="0.3">
      <c r="A14" s="36" t="s">
        <v>73</v>
      </c>
      <c r="B14" s="37"/>
      <c r="C14" s="36"/>
      <c r="D14" s="37"/>
      <c r="E14" s="39"/>
      <c r="F14" s="39"/>
      <c r="G14" s="39"/>
      <c r="H14" s="39"/>
      <c r="I14" s="39"/>
      <c r="J14" s="39"/>
      <c r="K14" s="36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4.25" customHeight="1" x14ac:dyDescent="0.3">
      <c r="A15" s="8" t="str">
        <f>Лист1!B6</f>
        <v>№35.1</v>
      </c>
      <c r="B15" s="8"/>
      <c r="C15" s="8"/>
      <c r="D15" s="9" t="s">
        <v>74</v>
      </c>
      <c r="E15" s="9"/>
      <c r="F15" s="42" t="str">
        <f>Лист1!B5</f>
        <v>По адресу: г.Москва, ул. Пресненский Вал, д.16 стр.1</v>
      </c>
      <c r="G15" s="42"/>
      <c r="H15" s="42"/>
      <c r="I15" s="42"/>
      <c r="J15" s="43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3.5" customHeight="1" x14ac:dyDescent="0.3">
      <c r="A16" s="32"/>
      <c r="B16" s="34"/>
      <c r="C16" s="36"/>
      <c r="D16" s="34"/>
      <c r="E16" s="34"/>
      <c r="F16" s="34"/>
      <c r="G16" s="34"/>
      <c r="H16" s="34"/>
      <c r="I16" s="34"/>
      <c r="J16" s="34"/>
      <c r="K16" s="3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3.5" customHeight="1" x14ac:dyDescent="0.3">
      <c r="A17" s="44" t="s">
        <v>75</v>
      </c>
      <c r="B17" s="37"/>
      <c r="C17" s="36"/>
      <c r="D17" s="37"/>
      <c r="E17" s="37"/>
      <c r="F17" s="37"/>
      <c r="G17" s="37"/>
      <c r="H17" s="37"/>
      <c r="I17" s="37"/>
      <c r="J17" s="37"/>
      <c r="K17" s="3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4.25" customHeight="1" x14ac:dyDescent="0.3">
      <c r="A18" s="44" t="s">
        <v>76</v>
      </c>
      <c r="B18" s="44" t="s">
        <v>77</v>
      </c>
      <c r="C18" s="36"/>
      <c r="D18" s="46" t="str">
        <f>Лист1!A31</f>
        <v>№35.1</v>
      </c>
      <c r="E18" s="46" t="s">
        <v>78</v>
      </c>
      <c r="F18" s="40">
        <f>Лист1!B31</f>
        <v>76.5</v>
      </c>
      <c r="G18" s="46" t="s">
        <v>79</v>
      </c>
      <c r="H18" s="40">
        <f>Лист1!C31</f>
        <v>135.91999999999999</v>
      </c>
      <c r="I18" s="47"/>
      <c r="J18" s="37"/>
      <c r="K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3.5" customHeight="1" x14ac:dyDescent="0.3">
      <c r="A19" s="44">
        <v>2</v>
      </c>
      <c r="B19" s="44" t="s">
        <v>80</v>
      </c>
      <c r="C19" s="36"/>
      <c r="D19" s="46" t="str">
        <f>Лист1!A31</f>
        <v>№35.1</v>
      </c>
      <c r="E19" s="4">
        <f>Лист1!D31</f>
        <v>2</v>
      </c>
      <c r="F19" s="4"/>
      <c r="G19" s="46"/>
      <c r="H19" s="9"/>
      <c r="I19" s="9"/>
      <c r="J19" s="37"/>
      <c r="K19" s="37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3.5" customHeight="1" x14ac:dyDescent="0.3">
      <c r="A20" s="44">
        <v>3</v>
      </c>
      <c r="B20" s="44" t="s">
        <v>81</v>
      </c>
      <c r="C20" s="36"/>
      <c r="D20" s="46" t="str">
        <f>Лист1!A31</f>
        <v>№35.1</v>
      </c>
      <c r="E20" s="4">
        <f>Лист1!E31</f>
        <v>271.83999999999997</v>
      </c>
      <c r="F20" s="4"/>
      <c r="G20" s="46"/>
      <c r="H20" s="3"/>
      <c r="I20" s="3"/>
      <c r="J20" s="37"/>
      <c r="K20" s="37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29.25" customHeight="1" x14ac:dyDescent="0.3">
      <c r="A21" s="44">
        <v>4</v>
      </c>
      <c r="B21" s="44" t="s">
        <v>82</v>
      </c>
      <c r="D21" s="2" t="str">
        <f>Лист1!B26</f>
        <v>Труба ЭЛЕКТРОПАЙП 225/170 - N 1250 F2 SDR 13,6</v>
      </c>
      <c r="E21" s="2"/>
      <c r="F21" s="2"/>
      <c r="G21" s="2"/>
      <c r="H21" s="2"/>
      <c r="I21" s="2"/>
      <c r="J21" s="37"/>
      <c r="K21" s="37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3.5" customHeight="1" x14ac:dyDescent="0.3">
      <c r="A22" s="44">
        <v>5</v>
      </c>
      <c r="B22" s="44" t="s">
        <v>83</v>
      </c>
      <c r="C22" s="36"/>
      <c r="D22" s="37"/>
      <c r="E22" s="37"/>
      <c r="F22" s="37"/>
      <c r="G22" s="37"/>
      <c r="H22" s="37"/>
      <c r="I22" s="37"/>
      <c r="J22" s="37"/>
      <c r="K22" s="3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3.5" customHeight="1" x14ac:dyDescent="0.3">
      <c r="A23" s="44">
        <v>6</v>
      </c>
      <c r="B23" s="44" t="s">
        <v>84</v>
      </c>
      <c r="C23" s="36"/>
      <c r="D23" s="37"/>
      <c r="E23" s="37"/>
      <c r="F23" s="37"/>
      <c r="G23" s="37"/>
      <c r="H23" s="37"/>
      <c r="I23" s="37"/>
      <c r="J23" s="37"/>
      <c r="K23" s="3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3.5" customHeight="1" x14ac:dyDescent="0.3">
      <c r="A24" s="44">
        <v>7</v>
      </c>
      <c r="B24" s="44" t="s">
        <v>85</v>
      </c>
      <c r="C24" s="36"/>
      <c r="D24" s="37"/>
      <c r="E24" s="37"/>
      <c r="F24" s="37"/>
      <c r="G24" s="37"/>
      <c r="H24" s="37"/>
      <c r="I24" s="37"/>
      <c r="J24" s="37"/>
      <c r="K24" s="37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3.5" customHeight="1" x14ac:dyDescent="0.3">
      <c r="A25" s="44"/>
      <c r="B25" s="44"/>
      <c r="C25" s="36"/>
      <c r="D25" s="37"/>
      <c r="E25" s="37"/>
      <c r="F25" s="37"/>
      <c r="G25" s="37"/>
      <c r="H25" s="37"/>
      <c r="I25" s="37"/>
      <c r="J25" s="37"/>
      <c r="K25" s="37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4.25" customHeight="1" x14ac:dyDescent="0.3">
      <c r="A26" s="44" t="s">
        <v>86</v>
      </c>
      <c r="B26" s="44"/>
      <c r="C26" s="36"/>
      <c r="D26" s="37"/>
      <c r="E26" s="8" t="str">
        <f>Лист1!B6</f>
        <v>№35.1</v>
      </c>
      <c r="F26" s="8"/>
      <c r="G26" s="8"/>
      <c r="H26" s="44" t="s">
        <v>87</v>
      </c>
      <c r="I26" s="37"/>
      <c r="J26" s="37"/>
      <c r="K26" s="37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4.25" customHeight="1" x14ac:dyDescent="0.3">
      <c r="A27" s="44" t="s">
        <v>88</v>
      </c>
      <c r="B27" s="44"/>
      <c r="C27" s="36"/>
      <c r="D27" s="37"/>
      <c r="E27" s="47"/>
      <c r="F27" s="47"/>
      <c r="G27" s="47"/>
      <c r="H27" s="44"/>
      <c r="I27" s="37"/>
      <c r="J27" s="37"/>
      <c r="K27" s="37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4.25" customHeight="1" x14ac:dyDescent="0.3">
      <c r="A28" s="44"/>
      <c r="B28" s="44"/>
      <c r="C28" s="36"/>
      <c r="D28" s="37"/>
      <c r="E28" s="47"/>
      <c r="F28" s="47"/>
      <c r="G28" s="47"/>
      <c r="H28" s="44"/>
      <c r="I28" s="37"/>
      <c r="J28" s="37"/>
      <c r="K28" s="37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3.5" customHeight="1" x14ac:dyDescent="0.3">
      <c r="A29" s="44"/>
      <c r="B29" s="44"/>
      <c r="C29" s="36"/>
      <c r="D29" s="37"/>
      <c r="E29" s="37"/>
      <c r="F29" s="37"/>
      <c r="G29" s="37"/>
      <c r="H29" s="37"/>
      <c r="I29" s="37"/>
      <c r="J29" s="37"/>
      <c r="K29" s="37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2" spans="1:26" ht="13.5" customHeight="1" x14ac:dyDescent="0.3">
      <c r="A32" s="32" t="str">
        <f>Лист1!C20</f>
        <v>Мастер по эксплуатации РС ЦРЭС АО «ОЭК» ___________________Медведев А.С.</v>
      </c>
      <c r="C32" s="32"/>
      <c r="D32" s="32"/>
      <c r="E32" s="32"/>
      <c r="F32" s="32"/>
      <c r="G32" s="32"/>
      <c r="H32" s="32"/>
      <c r="I32" s="32"/>
    </row>
    <row r="33" spans="1:9" ht="13.5" customHeight="1" x14ac:dyDescent="0.3">
      <c r="A33" s="32"/>
      <c r="C33" s="32"/>
      <c r="D33" s="32"/>
      <c r="E33" s="32"/>
      <c r="F33" s="32"/>
      <c r="G33" s="32"/>
      <c r="H33" s="32"/>
      <c r="I33" s="32"/>
    </row>
    <row r="34" spans="1:9" ht="13.5" customHeight="1" x14ac:dyDescent="0.3">
      <c r="A34" s="32" t="str">
        <f>Лист1!C21</f>
        <v>Начальник участка ООО «СПЕЦИНЖСТРОЙ» ___________________Щеглов Р.А.</v>
      </c>
      <c r="C34" s="32"/>
      <c r="D34" s="32"/>
      <c r="E34" s="32"/>
      <c r="F34" s="32"/>
      <c r="G34" s="32"/>
      <c r="H34" s="32"/>
      <c r="I34" s="32"/>
    </row>
    <row r="35" spans="1:9" ht="13.5" customHeight="1" x14ac:dyDescent="0.3">
      <c r="A35" s="32"/>
      <c r="C35" s="32"/>
      <c r="D35" s="32"/>
      <c r="E35" s="32"/>
      <c r="F35" s="32"/>
      <c r="G35" s="32"/>
      <c r="H35" s="32"/>
      <c r="I35" s="32"/>
    </row>
    <row r="36" spans="1:9" ht="13.5" customHeight="1" x14ac:dyDescent="0.3">
      <c r="A36" s="32"/>
      <c r="C36" s="32"/>
      <c r="D36" s="32"/>
      <c r="E36" s="32"/>
      <c r="F36" s="32"/>
      <c r="G36" s="32"/>
      <c r="H36" s="32"/>
      <c r="I36" s="32"/>
    </row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4">
    <mergeCell ref="E20:F20"/>
    <mergeCell ref="H20:I20"/>
    <mergeCell ref="D21:I21"/>
    <mergeCell ref="E26:G26"/>
    <mergeCell ref="A7:K7"/>
    <mergeCell ref="A15:C15"/>
    <mergeCell ref="D15:E15"/>
    <mergeCell ref="E19:F19"/>
    <mergeCell ref="H19:I19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3" customWidth="1"/>
    <col min="8" max="8" width="10.21875" customWidth="1"/>
    <col min="9" max="9" width="9.21875" customWidth="1"/>
    <col min="10" max="10" width="8.44140625" customWidth="1"/>
    <col min="11" max="11" width="9" customWidth="1"/>
    <col min="12" max="12" width="1.44140625" customWidth="1"/>
    <col min="13" max="13" width="9.109375" customWidth="1"/>
  </cols>
  <sheetData>
    <row r="1" spans="1:257" ht="15" customHeight="1" x14ac:dyDescent="0.3">
      <c r="B1" s="49" t="s">
        <v>38</v>
      </c>
      <c r="C1" s="50" t="str">
        <f>Лист1!B14</f>
        <v>АО "ОЭК"</v>
      </c>
      <c r="D1" s="50"/>
      <c r="E1" s="50"/>
      <c r="F1" s="50"/>
      <c r="G1" s="51"/>
      <c r="H1" s="50"/>
      <c r="I1" s="50"/>
      <c r="J1" s="50"/>
      <c r="K1" s="50"/>
    </row>
    <row r="2" spans="1:257" ht="15" customHeight="1" x14ac:dyDescent="0.3">
      <c r="B2" s="49" t="s">
        <v>56</v>
      </c>
      <c r="C2" s="50" t="str">
        <f>Лист1!B15</f>
        <v>ООО «СПЕЦИНЖСТРОЙ»</v>
      </c>
      <c r="D2" s="50"/>
      <c r="E2" s="50"/>
      <c r="F2" s="50"/>
      <c r="G2" s="51"/>
      <c r="H2" s="50"/>
      <c r="I2" s="50"/>
      <c r="J2" s="50"/>
      <c r="K2" s="50"/>
    </row>
    <row r="3" spans="1:257" ht="45.75" customHeight="1" x14ac:dyDescent="0.3">
      <c r="B3" s="52" t="s">
        <v>40</v>
      </c>
      <c r="C3" s="1" t="str">
        <f>Лист1!B4</f>
        <v>1КЛ: 20кВ ПС «Красносельская» до РП 1-45</v>
      </c>
      <c r="D3" s="1"/>
      <c r="E3" s="1"/>
      <c r="F3" s="1"/>
      <c r="G3" s="1"/>
      <c r="H3" s="1"/>
      <c r="I3" s="1"/>
      <c r="J3" s="1"/>
      <c r="K3" s="1"/>
    </row>
    <row r="4" spans="1:257" ht="15" customHeight="1" x14ac:dyDescent="0.3">
      <c r="B4" s="52" t="s">
        <v>41</v>
      </c>
      <c r="C4" s="53" t="str">
        <f>Лист1!B11</f>
        <v>03.06.2024 г.</v>
      </c>
      <c r="G4" s="85"/>
      <c r="H4" s="85"/>
      <c r="I4" s="85"/>
      <c r="J4" s="85"/>
      <c r="K4" s="54"/>
    </row>
    <row r="5" spans="1:257" ht="9.75" customHeight="1" x14ac:dyDescent="0.3">
      <c r="A5" s="86"/>
      <c r="B5" s="86"/>
      <c r="G5" s="87"/>
      <c r="H5" s="87"/>
      <c r="I5" s="87"/>
      <c r="J5" s="87"/>
      <c r="K5" s="87"/>
      <c r="O5" s="56"/>
      <c r="P5" s="56"/>
      <c r="Q5" s="56"/>
      <c r="R5" s="56"/>
      <c r="S5" s="56"/>
    </row>
    <row r="6" spans="1:257" ht="15.7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</row>
    <row r="7" spans="1:257" ht="15.75" customHeight="1" x14ac:dyDescent="0.3">
      <c r="A7" s="10" t="s">
        <v>89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36"/>
      <c r="M7" s="36"/>
      <c r="N7" s="36"/>
      <c r="O7" s="36"/>
      <c r="P7" s="36"/>
      <c r="Q7" s="35"/>
      <c r="R7" s="35"/>
      <c r="S7" s="35"/>
      <c r="T7" s="35"/>
      <c r="U7" s="35"/>
      <c r="V7" s="35"/>
      <c r="W7" s="35"/>
      <c r="X7" s="35"/>
      <c r="Y7" s="35"/>
      <c r="Z7" s="35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</row>
    <row r="8" spans="1:257" ht="11.2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6"/>
      <c r="M8" s="36"/>
      <c r="N8" s="36"/>
      <c r="O8" s="36"/>
      <c r="P8" s="36"/>
      <c r="Q8" s="35"/>
      <c r="R8" s="35"/>
      <c r="S8" s="35"/>
      <c r="T8" s="35"/>
      <c r="U8" s="35"/>
      <c r="V8" s="35"/>
      <c r="W8" s="35"/>
      <c r="X8" s="35"/>
      <c r="Y8" s="35"/>
      <c r="Z8" s="35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</row>
    <row r="9" spans="1:257" ht="15.7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L9" s="36"/>
      <c r="M9" s="36"/>
      <c r="N9" s="36"/>
      <c r="O9" s="36"/>
      <c r="P9" s="36"/>
      <c r="Q9" s="35"/>
      <c r="R9" s="35"/>
      <c r="S9" s="35"/>
      <c r="T9" s="35"/>
      <c r="U9" s="35"/>
      <c r="V9" s="35"/>
      <c r="W9" s="35"/>
      <c r="X9" s="35"/>
      <c r="Y9" s="35"/>
      <c r="Z9" s="35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</row>
    <row r="10" spans="1:257" ht="13.5" customHeight="1" x14ac:dyDescent="0.3">
      <c r="A10" s="36"/>
      <c r="B10" s="36"/>
      <c r="C10" s="36"/>
      <c r="D10" s="32"/>
      <c r="E10" s="32"/>
      <c r="F10" s="32"/>
      <c r="G10" s="32"/>
      <c r="H10" s="32"/>
      <c r="I10" s="32"/>
      <c r="J10" s="32"/>
      <c r="K10" s="32"/>
      <c r="L10" s="36"/>
      <c r="M10" s="36"/>
      <c r="N10" s="36"/>
      <c r="O10" s="36"/>
      <c r="P10" s="36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/>
      <c r="HH10" s="36"/>
      <c r="HI10" s="36"/>
      <c r="HJ10" s="36"/>
      <c r="HK10" s="36"/>
      <c r="HL10" s="36"/>
      <c r="HM10" s="36"/>
      <c r="HN10" s="36"/>
      <c r="HO10" s="36"/>
      <c r="HP10" s="36"/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</row>
    <row r="11" spans="1:257" ht="13.5" customHeight="1" x14ac:dyDescent="0.3">
      <c r="A11" s="36" t="str">
        <f>Лист1!B20</f>
        <v>Мастер по ЭРС АО "ОЭК" Медведев А.С.</v>
      </c>
      <c r="B11" s="38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</row>
    <row r="12" spans="1:257" ht="13.5" customHeight="1" x14ac:dyDescent="0.3">
      <c r="A12" s="32" t="str">
        <f>Лист1!B21</f>
        <v>Начальник участка ООО «СПЕЦИНЖСТРОЙ» Щеглов Р.А.</v>
      </c>
      <c r="B12" s="38"/>
      <c r="C12" s="36"/>
      <c r="D12" s="32"/>
      <c r="E12" s="32"/>
      <c r="F12" s="32"/>
      <c r="G12" s="32"/>
      <c r="H12" s="32"/>
      <c r="I12" s="32"/>
      <c r="J12" s="32"/>
      <c r="K12" s="32"/>
      <c r="L12" s="36"/>
      <c r="M12" s="36"/>
      <c r="N12" s="36"/>
      <c r="O12" s="36"/>
      <c r="P12" s="36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</row>
    <row r="13" spans="1:257" ht="15.75" customHeight="1" x14ac:dyDescent="0.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L13" s="36"/>
      <c r="M13" s="36"/>
      <c r="N13" s="36"/>
      <c r="O13" s="36"/>
      <c r="P13" s="36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</row>
    <row r="14" spans="1:257" ht="15.75" customHeight="1" x14ac:dyDescent="0.3">
      <c r="A14" s="36" t="s">
        <v>58</v>
      </c>
      <c r="B14" s="37"/>
      <c r="C14" s="36"/>
      <c r="D14" s="37"/>
      <c r="E14" s="8" t="str">
        <f>Лист1!B10</f>
        <v>ООО «СПЕЦИНЖСТРОЙ»</v>
      </c>
      <c r="F14" s="8"/>
      <c r="G14" s="8"/>
      <c r="H14" s="39"/>
      <c r="I14" s="39"/>
      <c r="J14" s="39"/>
      <c r="K14" s="36"/>
      <c r="L14" s="36"/>
      <c r="M14" s="36"/>
      <c r="N14" s="36"/>
      <c r="O14" s="36"/>
      <c r="P14" s="36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</row>
    <row r="15" spans="1:257" ht="15.75" customHeight="1" x14ac:dyDescent="0.3">
      <c r="A15" s="36" t="s">
        <v>90</v>
      </c>
      <c r="B15" s="39"/>
      <c r="C15" s="39"/>
      <c r="D15" s="36"/>
      <c r="E15" s="57" t="str">
        <f>Лист1!B6</f>
        <v>№35.1</v>
      </c>
      <c r="F15" s="57"/>
      <c r="G15" s="57"/>
      <c r="H15" s="39"/>
      <c r="I15" s="39"/>
      <c r="J15" s="36"/>
      <c r="K15" s="36"/>
      <c r="L15" s="36"/>
      <c r="M15" s="36"/>
      <c r="N15" s="36"/>
      <c r="O15" s="36"/>
      <c r="P15" s="36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</row>
    <row r="16" spans="1:257" ht="15.75" customHeight="1" x14ac:dyDescent="0.3">
      <c r="A16" s="36" t="s">
        <v>91</v>
      </c>
      <c r="B16" s="39"/>
      <c r="C16" s="39"/>
      <c r="D16" s="36"/>
      <c r="E16" s="36"/>
      <c r="F16" s="39"/>
      <c r="G16" s="39"/>
      <c r="H16" s="39"/>
      <c r="I16" s="39"/>
      <c r="J16" s="36"/>
      <c r="K16" s="36"/>
      <c r="L16" s="36"/>
      <c r="M16" s="36"/>
      <c r="N16" s="36"/>
      <c r="O16" s="36"/>
      <c r="P16" s="36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</row>
    <row r="17" spans="1:257" ht="15.75" customHeight="1" x14ac:dyDescent="0.3">
      <c r="A17" s="42" t="str">
        <f>Лист1!B23</f>
        <v>Центрального РЭС АО "ОЭК" и ОТН ДОСРС АО "ОЭК"</v>
      </c>
      <c r="B17" s="42"/>
      <c r="C17" s="42"/>
      <c r="D17" s="42"/>
      <c r="E17" s="42"/>
      <c r="F17" s="42"/>
      <c r="G17" s="42"/>
      <c r="H17" s="36" t="s">
        <v>92</v>
      </c>
      <c r="I17" s="47"/>
      <c r="J17" s="36"/>
      <c r="K17" s="36"/>
      <c r="L17" s="36"/>
      <c r="M17" s="36"/>
      <c r="N17" s="36"/>
      <c r="O17" s="36"/>
      <c r="P17" s="36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</row>
    <row r="18" spans="1:257" ht="15.75" customHeight="1" x14ac:dyDescent="0.3">
      <c r="A18" s="36" t="s">
        <v>93</v>
      </c>
      <c r="B18" s="39"/>
      <c r="C18" s="39"/>
      <c r="D18" s="36"/>
      <c r="E18" s="36"/>
      <c r="F18" s="39"/>
      <c r="G18" s="39"/>
      <c r="H18" s="39"/>
      <c r="I18" s="39"/>
      <c r="J18" s="36"/>
      <c r="K18" s="36"/>
      <c r="L18" s="36"/>
      <c r="M18" s="36"/>
      <c r="N18" s="36"/>
      <c r="O18" s="36"/>
      <c r="P18" s="3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</row>
    <row r="19" spans="1:257" ht="15.75" customHeight="1" x14ac:dyDescent="0.3">
      <c r="A19" s="32" t="s">
        <v>94</v>
      </c>
      <c r="B19" s="37"/>
      <c r="C19" s="36"/>
      <c r="D19" s="34"/>
      <c r="E19" s="34"/>
      <c r="F19" s="34"/>
      <c r="G19" s="34"/>
      <c r="H19" s="34"/>
      <c r="I19" s="34"/>
      <c r="J19" s="34"/>
      <c r="K19" s="34"/>
      <c r="L19" s="36"/>
      <c r="M19" s="36"/>
      <c r="N19" s="36"/>
      <c r="O19" s="36"/>
      <c r="P19" s="36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</row>
    <row r="20" spans="1:257" ht="15.75" customHeight="1" x14ac:dyDescent="0.3">
      <c r="A20" s="36" t="s">
        <v>95</v>
      </c>
      <c r="B20" s="37"/>
      <c r="C20" s="36"/>
      <c r="D20" s="39"/>
      <c r="E20" s="39"/>
      <c r="F20" s="39"/>
      <c r="G20" s="32"/>
      <c r="H20" s="37"/>
      <c r="I20" s="37"/>
      <c r="J20" s="37"/>
      <c r="K20" s="37"/>
      <c r="L20" s="36"/>
      <c r="M20" s="36"/>
      <c r="N20" s="36"/>
      <c r="O20" s="36"/>
      <c r="P20" s="36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</row>
    <row r="21" spans="1:257" ht="15.75" customHeight="1" x14ac:dyDescent="0.3">
      <c r="A21" s="36" t="s">
        <v>96</v>
      </c>
      <c r="B21" s="33"/>
      <c r="C21" s="36"/>
      <c r="D21" s="46"/>
      <c r="E21" s="46"/>
      <c r="F21" s="47"/>
      <c r="G21" s="46"/>
      <c r="H21" s="46"/>
      <c r="I21" s="47"/>
      <c r="J21" s="37"/>
      <c r="K21" s="37"/>
      <c r="L21" s="36"/>
      <c r="M21" s="36"/>
      <c r="N21" s="36"/>
      <c r="O21" s="36"/>
      <c r="P21" s="36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</row>
    <row r="22" spans="1:257" ht="15.75" customHeight="1" x14ac:dyDescent="0.3">
      <c r="A22" s="44"/>
      <c r="B22" s="44"/>
      <c r="C22" s="36"/>
      <c r="D22" s="46"/>
      <c r="E22" s="46"/>
      <c r="F22" s="47"/>
      <c r="G22" s="46"/>
      <c r="H22" s="46"/>
      <c r="I22" s="47"/>
      <c r="J22" s="37"/>
      <c r="K22" s="37"/>
      <c r="L22" s="36"/>
      <c r="M22" s="36"/>
      <c r="N22" s="36"/>
      <c r="O22" s="36"/>
      <c r="P22" s="36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</row>
    <row r="23" spans="1:257" ht="15.75" customHeight="1" x14ac:dyDescent="0.3">
      <c r="A23" s="32" t="s">
        <v>64</v>
      </c>
      <c r="B23" s="32"/>
      <c r="C23" s="36"/>
      <c r="D23" s="8" t="str">
        <f>Лист1!B16</f>
        <v>ООО "СПЕЦИНЖСТРОЙ"</v>
      </c>
      <c r="E23" s="8"/>
      <c r="F23" s="8"/>
      <c r="G23" s="46" t="s">
        <v>65</v>
      </c>
      <c r="H23" s="42" t="str">
        <f>Лист1!B7</f>
        <v>1146-КС-21-ЭС2</v>
      </c>
      <c r="I23" s="42"/>
      <c r="J23" s="42"/>
      <c r="K23" s="37"/>
      <c r="L23" s="36"/>
      <c r="M23" s="36"/>
      <c r="N23" s="36"/>
      <c r="O23" s="36"/>
      <c r="P23" s="36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/>
      <c r="IQ23" s="36"/>
      <c r="IR23" s="36"/>
      <c r="IS23" s="36"/>
      <c r="IT23" s="36"/>
      <c r="IU23" s="36"/>
      <c r="IV23" s="36"/>
      <c r="IW23" s="36"/>
    </row>
    <row r="24" spans="1:257" ht="15.75" customHeight="1" x14ac:dyDescent="0.3">
      <c r="A24" s="44"/>
      <c r="B24" s="44"/>
      <c r="C24" s="36"/>
      <c r="D24" s="46"/>
      <c r="E24" s="27"/>
      <c r="F24" s="27"/>
      <c r="G24" s="46"/>
      <c r="H24" s="36"/>
      <c r="I24" s="36"/>
      <c r="J24" s="37"/>
      <c r="K24" s="37"/>
      <c r="L24" s="36"/>
      <c r="M24" s="36"/>
      <c r="N24" s="36"/>
      <c r="O24" s="36"/>
      <c r="P24" s="36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</row>
    <row r="25" spans="1:257" ht="32.25" customHeight="1" x14ac:dyDescent="0.3">
      <c r="A25" s="32" t="s">
        <v>97</v>
      </c>
      <c r="B25" s="44"/>
      <c r="C25" s="36"/>
      <c r="D25" s="46"/>
      <c r="E25" s="88" t="str">
        <f>Лист1!B26</f>
        <v>Труба ЭЛЕКТРОПАЙП 225/170 - N 1250 F2 SDR 13,6</v>
      </c>
      <c r="F25" s="88"/>
      <c r="G25" s="88"/>
      <c r="H25" s="88"/>
      <c r="I25" s="88"/>
      <c r="J25" s="88"/>
      <c r="K25" s="37"/>
      <c r="L25" s="36"/>
      <c r="M25" s="36"/>
      <c r="N25" s="36"/>
      <c r="O25" s="36"/>
      <c r="P25" s="36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</row>
    <row r="26" spans="1:257" ht="15.75" customHeight="1" x14ac:dyDescent="0.3">
      <c r="A26" s="44"/>
      <c r="B26" s="44"/>
      <c r="C26" s="36"/>
      <c r="D26" s="46"/>
      <c r="E26" s="27"/>
      <c r="F26" s="27"/>
      <c r="G26" s="46"/>
      <c r="H26" s="36"/>
      <c r="I26" s="36"/>
      <c r="J26" s="37"/>
      <c r="K26" s="37"/>
      <c r="L26" s="36"/>
      <c r="M26" s="36"/>
      <c r="N26" s="36"/>
      <c r="O26" s="36"/>
      <c r="P26" s="36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/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/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</row>
    <row r="27" spans="1:257" ht="15.75" customHeight="1" x14ac:dyDescent="0.3">
      <c r="A27" s="32" t="s">
        <v>67</v>
      </c>
      <c r="B27" s="44"/>
      <c r="C27" s="36"/>
      <c r="D27" s="6" t="str">
        <f>Лист1!B8</f>
        <v>04.12.2025</v>
      </c>
      <c r="E27" s="6"/>
      <c r="F27" s="6"/>
      <c r="G27" s="46"/>
      <c r="H27" s="27"/>
      <c r="I27" s="27"/>
      <c r="J27" s="37"/>
      <c r="K27" s="37"/>
      <c r="L27" s="36"/>
      <c r="M27" s="36"/>
      <c r="N27" s="36"/>
      <c r="O27" s="36"/>
      <c r="P27" s="36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/>
      <c r="DY27" s="36"/>
      <c r="DZ27" s="36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/>
      <c r="GB27" s="36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</row>
    <row r="28" spans="1:257" ht="15.75" customHeight="1" x14ac:dyDescent="0.3">
      <c r="A28" s="44"/>
      <c r="B28" s="44"/>
      <c r="C28" s="36"/>
      <c r="D28" s="27"/>
      <c r="E28" s="37"/>
      <c r="F28" s="37"/>
      <c r="G28" s="37"/>
      <c r="H28" s="37"/>
      <c r="I28" s="37"/>
      <c r="J28" s="37"/>
      <c r="K28" s="37"/>
      <c r="L28" s="36"/>
      <c r="M28" s="36"/>
      <c r="N28" s="36"/>
      <c r="O28" s="36"/>
      <c r="P28" s="36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</row>
    <row r="29" spans="1:257" ht="15.75" customHeight="1" x14ac:dyDescent="0.3">
      <c r="A29" s="32" t="s">
        <v>68</v>
      </c>
      <c r="B29" s="44"/>
      <c r="C29" s="36"/>
      <c r="D29" s="6" t="str">
        <f>Лист1!B9</f>
        <v>12.12.2025</v>
      </c>
      <c r="E29" s="6"/>
      <c r="F29" s="6"/>
      <c r="G29" s="37"/>
      <c r="H29" s="37"/>
      <c r="I29" s="37"/>
      <c r="J29" s="37"/>
      <c r="K29" s="37"/>
      <c r="L29" s="36"/>
      <c r="M29" s="36"/>
      <c r="N29" s="36"/>
      <c r="O29" s="36"/>
      <c r="P29" s="36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spans="1:257" ht="15.75" customHeight="1" x14ac:dyDescent="0.3">
      <c r="A30" s="44"/>
      <c r="B30" s="44"/>
      <c r="C30" s="36"/>
      <c r="D30" s="37"/>
      <c r="E30" s="37"/>
      <c r="F30" s="37"/>
      <c r="G30" s="37"/>
      <c r="H30" s="37"/>
      <c r="I30" s="37"/>
      <c r="J30" s="37"/>
      <c r="K30" s="37"/>
      <c r="L30" s="36"/>
      <c r="M30" s="36"/>
      <c r="N30" s="36"/>
      <c r="O30" s="36"/>
      <c r="P30" s="36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spans="1:257" ht="15.75" customHeight="1" x14ac:dyDescent="0.3">
      <c r="A31" s="10" t="s">
        <v>69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6"/>
      <c r="M31" s="36"/>
      <c r="N31" s="36"/>
      <c r="O31" s="36"/>
      <c r="P31" s="36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</row>
    <row r="32" spans="1:257" ht="15.75" customHeight="1" x14ac:dyDescent="0.3">
      <c r="A32" s="32" t="s">
        <v>70</v>
      </c>
      <c r="B32" s="44"/>
      <c r="C32" s="36"/>
      <c r="D32" s="37"/>
      <c r="E32" s="37"/>
      <c r="F32" s="37"/>
      <c r="G32" s="37"/>
      <c r="H32" s="37"/>
      <c r="I32" s="37"/>
      <c r="J32" s="37"/>
      <c r="K32" s="37"/>
      <c r="L32" s="36"/>
      <c r="M32" s="36"/>
      <c r="N32" s="36"/>
      <c r="O32" s="36"/>
      <c r="P32" s="36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/>
      <c r="EB32" s="36"/>
      <c r="EC32" s="36"/>
      <c r="ED32" s="36"/>
      <c r="EE32" s="36"/>
      <c r="EF32" s="36"/>
      <c r="EG32" s="36"/>
      <c r="EH32" s="36"/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/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/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/>
    </row>
    <row r="33" spans="1:257" ht="15.75" customHeight="1" x14ac:dyDescent="0.3">
      <c r="A33" s="32" t="s">
        <v>98</v>
      </c>
      <c r="B33" s="44"/>
      <c r="C33" s="36"/>
      <c r="D33" s="37"/>
      <c r="E33" s="39"/>
      <c r="F33" s="39"/>
      <c r="G33" s="39"/>
      <c r="H33" s="44"/>
      <c r="I33" s="37"/>
      <c r="J33" s="37"/>
      <c r="K33" s="37"/>
      <c r="L33" s="36"/>
      <c r="M33" s="36"/>
      <c r="N33" s="36"/>
      <c r="O33" s="36"/>
      <c r="P33" s="36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/>
    </row>
    <row r="34" spans="1:257" ht="15.75" customHeight="1" x14ac:dyDescent="0.3">
      <c r="A34" s="44"/>
      <c r="B34" s="44"/>
      <c r="C34" s="36"/>
      <c r="D34" s="37"/>
      <c r="E34" s="47"/>
      <c r="F34" s="47"/>
      <c r="G34" s="47"/>
      <c r="H34" s="44"/>
      <c r="I34" s="37"/>
      <c r="J34" s="37"/>
      <c r="K34" s="37"/>
      <c r="L34" s="36"/>
      <c r="M34" s="36"/>
      <c r="N34" s="36"/>
      <c r="O34" s="36"/>
      <c r="P34" s="36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</row>
    <row r="35" spans="1:257" ht="15.75" customHeight="1" x14ac:dyDescent="0.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</row>
    <row r="36" spans="1:257" ht="15.75" customHeight="1" x14ac:dyDescent="0.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</row>
    <row r="37" spans="1:257" ht="15.75" customHeight="1" x14ac:dyDescent="0.3">
      <c r="A37" s="32" t="str">
        <f>Лист1!C20</f>
        <v>Мастер по эксплуатации РС ЦРЭС АО «ОЭК» ___________________Медведев А.С.</v>
      </c>
      <c r="B37" s="36"/>
      <c r="C37" s="32"/>
      <c r="D37" s="32"/>
      <c r="E37" s="32"/>
      <c r="F37" s="32"/>
      <c r="G37" s="32"/>
      <c r="H37" s="32"/>
      <c r="I37" s="32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</row>
    <row r="38" spans="1:257" ht="15.75" customHeight="1" x14ac:dyDescent="0.3">
      <c r="A38" s="32"/>
      <c r="B38" s="36"/>
      <c r="C38" s="32"/>
      <c r="D38" s="32"/>
      <c r="E38" s="32"/>
      <c r="F38" s="32"/>
      <c r="G38" s="32"/>
      <c r="H38" s="32"/>
      <c r="I38" s="32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</row>
    <row r="39" spans="1:257" ht="15.75" customHeight="1" x14ac:dyDescent="0.3">
      <c r="A39" s="32" t="str">
        <f>Лист1!C21</f>
        <v>Начальник участка ООО «СПЕЦИНЖСТРОЙ» ___________________Щеглов Р.А.</v>
      </c>
      <c r="B39" s="36"/>
      <c r="C39" s="32"/>
      <c r="D39" s="32"/>
      <c r="E39" s="32"/>
      <c r="F39" s="32"/>
      <c r="G39" s="32"/>
      <c r="H39" s="32"/>
      <c r="I39" s="32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</row>
    <row r="40" spans="1:257" ht="15.75" customHeight="1" x14ac:dyDescent="0.3">
      <c r="A40" s="32"/>
      <c r="B40" s="36"/>
      <c r="C40" s="32"/>
      <c r="D40" s="32"/>
      <c r="E40" s="32"/>
      <c r="F40" s="32"/>
      <c r="G40" s="32"/>
      <c r="H40" s="32"/>
      <c r="I40" s="32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</row>
    <row r="41" spans="1:257" ht="15.75" customHeight="1" x14ac:dyDescent="0.3">
      <c r="A41" s="32"/>
      <c r="B41" s="36"/>
      <c r="C41" s="32"/>
      <c r="D41" s="32"/>
      <c r="E41" s="32"/>
      <c r="F41" s="32"/>
      <c r="G41" s="32"/>
      <c r="H41" s="32"/>
      <c r="I41" s="32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</row>
    <row r="42" spans="1:257" ht="15.75" customHeight="1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</row>
    <row r="43" spans="1:257" ht="15.75" customHeight="1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</row>
    <row r="44" spans="1:257" ht="15.75" customHeight="1" x14ac:dyDescent="0.3"/>
    <row r="45" spans="1:257" ht="15.75" customHeight="1" x14ac:dyDescent="0.3"/>
    <row r="46" spans="1:257" ht="15.75" customHeight="1" x14ac:dyDescent="0.3"/>
    <row r="47" spans="1:257" ht="15.75" customHeight="1" x14ac:dyDescent="0.3"/>
    <row r="48" spans="1:25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2">
    <mergeCell ref="D29:F29"/>
    <mergeCell ref="A31:K31"/>
    <mergeCell ref="A7:K7"/>
    <mergeCell ref="E14:G14"/>
    <mergeCell ref="D23:F23"/>
    <mergeCell ref="E25:J25"/>
    <mergeCell ref="D27:F27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W73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57" ht="13.5" customHeight="1" x14ac:dyDescent="0.3">
      <c r="B1" s="26" t="s">
        <v>38</v>
      </c>
      <c r="C1" s="27" t="str">
        <f>Лист1!B14</f>
        <v>АО "ОЭК"</v>
      </c>
      <c r="D1" s="27"/>
      <c r="E1" s="27"/>
      <c r="F1" s="27"/>
      <c r="G1" s="28"/>
      <c r="H1" s="27"/>
      <c r="I1" s="27"/>
      <c r="J1" s="27"/>
      <c r="K1" s="27"/>
    </row>
    <row r="2" spans="1:257" ht="13.5" customHeight="1" x14ac:dyDescent="0.3">
      <c r="B2" s="26" t="s">
        <v>56</v>
      </c>
      <c r="C2" s="27" t="str">
        <f>Лист1!B15</f>
        <v>ООО «СПЕЦИНЖСТРОЙ»</v>
      </c>
      <c r="D2" s="27"/>
      <c r="E2" s="27"/>
      <c r="F2" s="27"/>
      <c r="G2" s="28"/>
      <c r="H2" s="27"/>
      <c r="I2" s="27"/>
      <c r="J2" s="27"/>
      <c r="K2" s="27"/>
    </row>
    <row r="3" spans="1:257" ht="39" customHeight="1" x14ac:dyDescent="0.3">
      <c r="A3" s="58"/>
      <c r="B3" s="29" t="s">
        <v>40</v>
      </c>
      <c r="C3" s="14" t="str">
        <f>Лист1!B4</f>
        <v>1КЛ: 20кВ ПС «Красносельская» до РП 1-45</v>
      </c>
      <c r="D3" s="14"/>
      <c r="E3" s="14"/>
      <c r="F3" s="14"/>
      <c r="G3" s="14"/>
      <c r="H3" s="14"/>
      <c r="I3" s="14"/>
      <c r="J3" s="14"/>
      <c r="K3" s="14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  <c r="IV3" s="58"/>
      <c r="IW3" s="58"/>
    </row>
    <row r="4" spans="1:257" ht="13.5" customHeight="1" x14ac:dyDescent="0.3">
      <c r="B4" s="29" t="s">
        <v>41</v>
      </c>
      <c r="C4" s="30" t="str">
        <f>Лист1!B11</f>
        <v>03.06.2024 г.</v>
      </c>
      <c r="G4" s="13"/>
      <c r="H4" s="13"/>
      <c r="I4" s="13"/>
      <c r="J4" s="13"/>
      <c r="K4" s="31"/>
    </row>
    <row r="5" spans="1:257" ht="9.75" customHeight="1" x14ac:dyDescent="0.3">
      <c r="A5" s="12"/>
      <c r="B5" s="12"/>
      <c r="G5" s="11"/>
      <c r="H5" s="11"/>
      <c r="I5" s="11"/>
      <c r="J5" s="11"/>
      <c r="K5" s="11"/>
      <c r="O5" s="33"/>
      <c r="P5" s="33"/>
      <c r="Q5" s="33"/>
      <c r="R5" s="33"/>
      <c r="S5" s="33"/>
    </row>
    <row r="6" spans="1:257" ht="15.7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57" ht="15.75" customHeight="1" x14ac:dyDescent="0.3">
      <c r="A7" s="10" t="s">
        <v>99</v>
      </c>
      <c r="B7" s="10"/>
      <c r="C7" s="10"/>
      <c r="D7" s="10"/>
      <c r="E7" s="10"/>
      <c r="F7" s="10"/>
      <c r="G7" s="10"/>
      <c r="H7" s="10"/>
      <c r="I7" s="10"/>
      <c r="J7" s="10"/>
      <c r="K7" s="10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57" ht="11.2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57" ht="15.7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57" ht="15.75" customHeight="1" x14ac:dyDescent="0.3">
      <c r="A10" s="36"/>
      <c r="B10" s="36"/>
      <c r="C10" s="36"/>
      <c r="D10" s="32"/>
      <c r="E10" s="32"/>
      <c r="F10" s="32"/>
      <c r="G10" s="32"/>
      <c r="H10" s="32"/>
      <c r="I10" s="32"/>
      <c r="J10" s="32"/>
      <c r="K10" s="32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57" ht="18" customHeight="1" x14ac:dyDescent="0.3">
      <c r="A11" s="36" t="str">
        <f>Лист1!B20</f>
        <v>Мастер по ЭРС АО "ОЭК" Медведев А.С.</v>
      </c>
      <c r="B11" s="38"/>
      <c r="D11" s="36"/>
      <c r="E11" s="36"/>
      <c r="F11" s="36"/>
      <c r="G11" s="36"/>
      <c r="H11" s="36"/>
      <c r="I11" s="36"/>
      <c r="J11" s="36"/>
      <c r="K11" s="36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57" ht="15.75" customHeight="1" x14ac:dyDescent="0.3">
      <c r="A12" s="32" t="str">
        <f>Лист1!B21</f>
        <v>Начальник участка ООО «СПЕЦИНЖСТРОЙ» Щеглов Р.А.</v>
      </c>
      <c r="B12" s="38"/>
      <c r="D12" s="32"/>
      <c r="E12" s="32"/>
      <c r="F12" s="32"/>
      <c r="G12" s="32"/>
      <c r="H12" s="32"/>
      <c r="I12" s="32"/>
      <c r="J12" s="32"/>
      <c r="K12" s="3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57" ht="15.75" customHeight="1" x14ac:dyDescent="0.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57" ht="15.75" customHeight="1" x14ac:dyDescent="0.3">
      <c r="A14" s="33" t="s">
        <v>58</v>
      </c>
      <c r="B14" s="37"/>
      <c r="C14" s="36"/>
      <c r="D14" s="37"/>
      <c r="E14" s="8" t="str">
        <f>Лист1!B10</f>
        <v>ООО «СПЕЦИНЖСТРОЙ»</v>
      </c>
      <c r="F14" s="8"/>
      <c r="G14" s="8"/>
      <c r="H14" s="39"/>
      <c r="I14" s="39"/>
      <c r="J14" s="39"/>
      <c r="K14" s="36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57" ht="15.75" customHeight="1" x14ac:dyDescent="0.3">
      <c r="A15" s="39" t="s">
        <v>59</v>
      </c>
      <c r="B15" s="39"/>
      <c r="C15" s="39"/>
      <c r="D15" s="36"/>
      <c r="E15" s="36"/>
      <c r="F15" s="39"/>
      <c r="G15" s="39"/>
      <c r="H15" s="39"/>
      <c r="I15" s="39"/>
      <c r="J15" s="36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57" ht="15.75" customHeight="1" x14ac:dyDescent="0.3">
      <c r="A16" s="32" t="s">
        <v>60</v>
      </c>
      <c r="B16" s="37"/>
      <c r="C16" s="36"/>
      <c r="D16" s="34"/>
      <c r="E16" s="34"/>
      <c r="F16" s="34"/>
      <c r="G16" s="34"/>
      <c r="H16" s="34"/>
      <c r="I16" s="34"/>
      <c r="J16" s="34"/>
      <c r="K16" s="3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 x14ac:dyDescent="0.3">
      <c r="A17" s="32" t="s">
        <v>100</v>
      </c>
      <c r="B17" s="37"/>
      <c r="C17" s="36"/>
      <c r="D17" s="8" t="str">
        <f>Лист1!B6</f>
        <v>№35.1</v>
      </c>
      <c r="E17" s="8"/>
      <c r="F17" s="8"/>
      <c r="G17" s="32" t="s">
        <v>74</v>
      </c>
      <c r="H17" s="37"/>
      <c r="I17" s="37"/>
      <c r="J17" s="37"/>
      <c r="K17" s="3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 x14ac:dyDescent="0.3">
      <c r="A18" s="41" t="str">
        <f>Лист1!B5</f>
        <v>По адресу: г.Москва, ул. Пресненский Вал, д.16 стр.1</v>
      </c>
      <c r="B18" s="59"/>
      <c r="C18" s="43"/>
      <c r="D18" s="48"/>
      <c r="E18" s="48"/>
      <c r="F18" s="40"/>
      <c r="G18" s="48"/>
      <c r="H18" s="46"/>
      <c r="I18" s="47"/>
      <c r="J18" s="37"/>
      <c r="K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3">
      <c r="A19" s="60"/>
      <c r="B19" s="44"/>
      <c r="C19" s="36"/>
      <c r="D19" s="46"/>
      <c r="E19" s="46"/>
      <c r="F19" s="47"/>
      <c r="G19" s="46"/>
      <c r="H19" s="46"/>
      <c r="I19" s="47"/>
      <c r="J19" s="37"/>
      <c r="K19" s="37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3">
      <c r="A20" s="32" t="s">
        <v>64</v>
      </c>
      <c r="B20" s="32"/>
      <c r="C20" s="36"/>
      <c r="D20" s="8" t="str">
        <f>Лист1!B16</f>
        <v>ООО "СПЕЦИНЖСТРОЙ"</v>
      </c>
      <c r="E20" s="8"/>
      <c r="F20" s="8"/>
      <c r="G20" s="46" t="s">
        <v>65</v>
      </c>
      <c r="H20" s="42" t="str">
        <f>Лист1!B7</f>
        <v>1146-КС-21-ЭС2</v>
      </c>
      <c r="I20" s="42"/>
      <c r="J20" s="42"/>
      <c r="K20" s="37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3">
      <c r="A21" s="44"/>
      <c r="B21" s="44"/>
      <c r="C21" s="36"/>
      <c r="D21" s="46"/>
      <c r="E21" s="27"/>
      <c r="F21" s="27"/>
      <c r="G21" s="46"/>
      <c r="H21" s="36"/>
      <c r="I21" s="36"/>
      <c r="J21" s="37"/>
      <c r="K21" s="37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 x14ac:dyDescent="0.3">
      <c r="A22" s="32" t="s">
        <v>101</v>
      </c>
      <c r="B22" s="44"/>
      <c r="C22" s="36"/>
      <c r="D22" s="6" t="str">
        <f>Лист1!B8</f>
        <v>04.12.2025</v>
      </c>
      <c r="E22" s="6"/>
      <c r="F22" s="6"/>
      <c r="G22" s="46"/>
      <c r="H22" s="27"/>
      <c r="I22" s="27"/>
      <c r="J22" s="37"/>
      <c r="K22" s="3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3">
      <c r="A23" s="44"/>
      <c r="B23" s="44"/>
      <c r="C23" s="36"/>
      <c r="D23" s="27"/>
      <c r="E23" s="37"/>
      <c r="F23" s="37"/>
      <c r="G23" s="37"/>
      <c r="H23" s="37"/>
      <c r="I23" s="37"/>
      <c r="J23" s="37"/>
      <c r="K23" s="3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 x14ac:dyDescent="0.3">
      <c r="A24" s="32" t="s">
        <v>102</v>
      </c>
      <c r="B24" s="44"/>
      <c r="C24" s="36"/>
      <c r="D24" s="6" t="str">
        <f>Лист1!B9</f>
        <v>12.12.2025</v>
      </c>
      <c r="E24" s="6"/>
      <c r="F24" s="6"/>
      <c r="G24" s="37"/>
      <c r="H24" s="37"/>
      <c r="I24" s="37"/>
      <c r="J24" s="37"/>
      <c r="K24" s="37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3">
      <c r="A25" s="44"/>
      <c r="B25" s="44"/>
      <c r="C25" s="36"/>
      <c r="D25" s="37"/>
      <c r="E25" s="37"/>
      <c r="F25" s="37"/>
      <c r="G25" s="37"/>
      <c r="H25" s="37"/>
      <c r="I25" s="37"/>
      <c r="J25" s="37"/>
      <c r="K25" s="37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3">
      <c r="A26" s="10" t="s">
        <v>69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3">
      <c r="A27" s="32" t="s">
        <v>70</v>
      </c>
      <c r="B27" s="44"/>
      <c r="C27" s="36"/>
      <c r="D27" s="37"/>
      <c r="E27" s="37"/>
      <c r="F27" s="37"/>
      <c r="G27" s="37"/>
      <c r="H27" s="37"/>
      <c r="I27" s="37"/>
      <c r="J27" s="37"/>
      <c r="K27" s="37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3">
      <c r="A28" s="32" t="s">
        <v>98</v>
      </c>
      <c r="B28" s="44"/>
      <c r="C28" s="36"/>
      <c r="D28" s="37"/>
      <c r="E28" s="39"/>
      <c r="F28" s="39"/>
      <c r="G28" s="39"/>
      <c r="H28" s="44"/>
      <c r="I28" s="37"/>
      <c r="J28" s="37"/>
      <c r="K28" s="37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3">
      <c r="A29" s="44"/>
      <c r="B29" s="44"/>
      <c r="C29" s="36"/>
      <c r="D29" s="37"/>
      <c r="E29" s="47"/>
      <c r="F29" s="47"/>
      <c r="G29" s="47"/>
      <c r="H29" s="44"/>
      <c r="I29" s="37"/>
      <c r="J29" s="37"/>
      <c r="K29" s="37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3">
      <c r="A30" s="44"/>
      <c r="B30" s="44"/>
      <c r="C30" s="36"/>
      <c r="D30" s="37"/>
      <c r="E30" s="37"/>
      <c r="F30" s="37"/>
      <c r="G30" s="37"/>
      <c r="H30" s="37"/>
      <c r="I30" s="37"/>
      <c r="J30" s="37"/>
      <c r="K30" s="37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3"/>
    <row r="32" spans="1:26" ht="15.75" customHeight="1" x14ac:dyDescent="0.3"/>
    <row r="33" spans="1:9" ht="15.75" customHeight="1" x14ac:dyDescent="0.3">
      <c r="A33" s="32" t="str">
        <f>Лист1!C20</f>
        <v>Мастер по эксплуатации РС ЦРЭС АО «ОЭК» ___________________Медведев А.С.</v>
      </c>
      <c r="C33" s="32"/>
      <c r="D33" s="61"/>
      <c r="E33" s="61"/>
      <c r="F33" s="61"/>
      <c r="G33" s="32"/>
      <c r="H33" s="32"/>
      <c r="I33" s="32"/>
    </row>
    <row r="34" spans="1:9" ht="15.75" customHeight="1" x14ac:dyDescent="0.3">
      <c r="A34" s="32"/>
      <c r="C34" s="32"/>
      <c r="D34" s="32"/>
      <c r="E34" s="32"/>
      <c r="F34" s="32"/>
      <c r="G34" s="32"/>
      <c r="H34" s="32"/>
      <c r="I34" s="32"/>
    </row>
    <row r="35" spans="1:9" ht="15.75" customHeight="1" x14ac:dyDescent="0.3">
      <c r="A35" s="32" t="str">
        <f>Лист1!C21</f>
        <v>Начальник участка ООО «СПЕЦИНЖСТРОЙ» ___________________Щеглов Р.А.</v>
      </c>
      <c r="C35" s="32"/>
      <c r="D35" s="32"/>
      <c r="E35" s="62"/>
      <c r="F35" s="62"/>
      <c r="G35" s="62"/>
      <c r="H35" s="32"/>
      <c r="I35" s="32"/>
    </row>
    <row r="36" spans="1:9" ht="15.75" customHeight="1" x14ac:dyDescent="0.3">
      <c r="A36" s="32"/>
      <c r="C36" s="32"/>
      <c r="D36" s="32"/>
      <c r="E36" s="32"/>
      <c r="F36" s="32"/>
      <c r="G36" s="32"/>
      <c r="H36" s="32"/>
      <c r="I36" s="32"/>
    </row>
    <row r="37" spans="1:9" ht="15.75" customHeight="1" x14ac:dyDescent="0.3">
      <c r="A37" s="32"/>
      <c r="C37" s="32"/>
      <c r="D37" s="32"/>
      <c r="E37" s="32"/>
      <c r="F37" s="32"/>
      <c r="G37" s="32"/>
      <c r="H37" s="32"/>
      <c r="I37" s="32"/>
    </row>
    <row r="38" spans="1:9" ht="15.75" customHeight="1" x14ac:dyDescent="0.3"/>
    <row r="39" spans="1:9" ht="15.75" customHeight="1" x14ac:dyDescent="0.3"/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</sheetData>
  <mergeCells count="12">
    <mergeCell ref="D24:F24"/>
    <mergeCell ref="A26:K26"/>
    <mergeCell ref="A7:K7"/>
    <mergeCell ref="E14:G14"/>
    <mergeCell ref="D17:F17"/>
    <mergeCell ref="D20:F20"/>
    <mergeCell ref="D22:F22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6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26" t="s">
        <v>38</v>
      </c>
      <c r="C1" s="27" t="str">
        <f>Лист1!B14</f>
        <v>АО "ОЭК"</v>
      </c>
      <c r="D1" s="27"/>
      <c r="E1" s="27"/>
      <c r="F1" s="27"/>
      <c r="G1" s="28"/>
      <c r="H1" s="27"/>
      <c r="I1" s="27"/>
      <c r="J1" s="27"/>
      <c r="K1" s="27"/>
    </row>
    <row r="2" spans="1:26" ht="13.5" customHeight="1" x14ac:dyDescent="0.3">
      <c r="B2" s="26" t="s">
        <v>56</v>
      </c>
      <c r="C2" s="27" t="str">
        <f>Лист1!B15</f>
        <v>ООО «СПЕЦИНЖСТРОЙ»</v>
      </c>
      <c r="D2" s="27"/>
      <c r="E2" s="27"/>
      <c r="F2" s="27"/>
      <c r="G2" s="28"/>
      <c r="H2" s="27"/>
      <c r="I2" s="27"/>
      <c r="J2" s="27"/>
      <c r="K2" s="27"/>
    </row>
    <row r="3" spans="1:26" ht="48.75" customHeight="1" x14ac:dyDescent="0.3">
      <c r="B3" s="29" t="s">
        <v>40</v>
      </c>
      <c r="C3" s="89" t="str">
        <f>Лист1!B4</f>
        <v>1КЛ: 20кВ ПС «Красносельская» до РП 1-45</v>
      </c>
      <c r="D3" s="89"/>
      <c r="E3" s="89"/>
      <c r="F3" s="89"/>
      <c r="G3" s="89"/>
      <c r="H3" s="89"/>
      <c r="I3" s="89"/>
      <c r="J3" s="89"/>
      <c r="K3" s="89"/>
    </row>
    <row r="4" spans="1:26" ht="13.5" customHeight="1" x14ac:dyDescent="0.3">
      <c r="B4" s="29" t="s">
        <v>41</v>
      </c>
      <c r="C4" s="30" t="str">
        <f>Лист1!B11</f>
        <v>03.06.2024 г.</v>
      </c>
      <c r="G4" s="13"/>
      <c r="H4" s="13"/>
      <c r="I4" s="13"/>
      <c r="J4" s="13"/>
      <c r="K4" s="31"/>
    </row>
    <row r="5" spans="1:26" ht="9.75" customHeight="1" x14ac:dyDescent="0.3">
      <c r="A5" s="12"/>
      <c r="B5" s="12"/>
      <c r="G5" s="11"/>
      <c r="H5" s="11"/>
      <c r="I5" s="11"/>
      <c r="J5" s="11"/>
      <c r="K5" s="11"/>
      <c r="O5" s="33"/>
      <c r="P5" s="33"/>
      <c r="Q5" s="33"/>
      <c r="R5" s="33"/>
      <c r="S5" s="33"/>
    </row>
    <row r="6" spans="1:26" ht="15.7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6" ht="15.75" customHeight="1" x14ac:dyDescent="0.3">
      <c r="A7" s="10" t="s">
        <v>103</v>
      </c>
      <c r="B7" s="10"/>
      <c r="C7" s="10"/>
      <c r="D7" s="10"/>
      <c r="E7" s="10"/>
      <c r="F7" s="10"/>
      <c r="G7" s="10"/>
      <c r="H7" s="10"/>
      <c r="I7" s="10"/>
      <c r="J7" s="10"/>
      <c r="K7" s="10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1.2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36"/>
      <c r="B10" s="36"/>
      <c r="C10" s="36"/>
      <c r="D10" s="32"/>
      <c r="E10" s="32"/>
      <c r="F10" s="32"/>
      <c r="G10" s="32"/>
      <c r="H10" s="32"/>
      <c r="I10" s="32"/>
      <c r="J10" s="32"/>
      <c r="K10" s="32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8" customHeight="1" x14ac:dyDescent="0.3">
      <c r="A11" s="36" t="str">
        <f>Лист1!B20</f>
        <v>Мастер по ЭРС АО "ОЭК" Медведев А.С.</v>
      </c>
      <c r="B11" s="38"/>
      <c r="D11" s="36"/>
      <c r="E11" s="36"/>
      <c r="F11" s="36"/>
      <c r="G11" s="36"/>
      <c r="H11" s="36"/>
      <c r="I11" s="36"/>
      <c r="J11" s="36"/>
      <c r="K11" s="36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2" t="str">
        <f>Лист1!B21</f>
        <v>Начальник участка ООО «СПЕЦИНЖСТРОЙ» Щеглов Р.А.</v>
      </c>
      <c r="B12" s="38"/>
      <c r="D12" s="32"/>
      <c r="E12" s="32"/>
      <c r="F12" s="32"/>
      <c r="G12" s="32"/>
      <c r="H12" s="32"/>
      <c r="I12" s="32"/>
      <c r="J12" s="32"/>
      <c r="K12" s="3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 x14ac:dyDescent="0.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 x14ac:dyDescent="0.3">
      <c r="A14" s="33" t="s">
        <v>58</v>
      </c>
      <c r="B14" s="37"/>
      <c r="C14" s="36"/>
      <c r="D14" s="37"/>
      <c r="E14" s="8" t="str">
        <f>Лист1!B10</f>
        <v>ООО «СПЕЦИНЖСТРОЙ»</v>
      </c>
      <c r="F14" s="8"/>
      <c r="G14" s="8"/>
      <c r="H14" s="39"/>
      <c r="I14" s="39"/>
      <c r="J14" s="39"/>
      <c r="K14" s="36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 x14ac:dyDescent="0.3">
      <c r="A15" s="33" t="s">
        <v>59</v>
      </c>
      <c r="B15" s="39"/>
      <c r="C15" s="39"/>
      <c r="D15" s="36"/>
      <c r="E15" s="36"/>
      <c r="F15" s="39"/>
      <c r="G15" s="39"/>
      <c r="H15" s="39"/>
      <c r="I15" s="39"/>
      <c r="J15" s="36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 x14ac:dyDescent="0.3">
      <c r="A16" s="32" t="s">
        <v>60</v>
      </c>
      <c r="B16" s="37"/>
      <c r="C16" s="36"/>
      <c r="D16" s="34"/>
      <c r="E16" s="34"/>
      <c r="F16" s="34"/>
      <c r="G16" s="34"/>
      <c r="H16" s="34"/>
      <c r="I16" s="34"/>
      <c r="J16" s="34"/>
      <c r="K16" s="3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 x14ac:dyDescent="0.3">
      <c r="A17" s="32" t="s">
        <v>104</v>
      </c>
      <c r="B17" s="37"/>
      <c r="C17" s="36"/>
      <c r="D17" s="8" t="str">
        <f>Лист1!B6</f>
        <v>№35.1</v>
      </c>
      <c r="E17" s="8"/>
      <c r="F17" s="8"/>
      <c r="G17" s="8"/>
      <c r="H17" s="32" t="s">
        <v>62</v>
      </c>
      <c r="J17" s="37"/>
      <c r="K17" s="3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 x14ac:dyDescent="0.3">
      <c r="A18" s="32" t="s">
        <v>63</v>
      </c>
      <c r="B18" s="37"/>
      <c r="C18" s="7" t="str">
        <f>Лист1!B5</f>
        <v>По адресу: г.Москва, ул. Пресненский Вал, д.16 стр.1</v>
      </c>
      <c r="D18" s="7"/>
      <c r="E18" s="7"/>
      <c r="F18" s="7"/>
      <c r="G18" s="7"/>
      <c r="H18" s="7"/>
      <c r="I18" s="32"/>
      <c r="J18" s="37"/>
      <c r="K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3">
      <c r="A19" s="44"/>
      <c r="B19" s="44"/>
      <c r="C19" s="36"/>
      <c r="D19" s="46"/>
      <c r="E19" s="46"/>
      <c r="F19" s="47"/>
      <c r="G19" s="46"/>
      <c r="H19" s="46"/>
      <c r="I19" s="47"/>
      <c r="J19" s="37"/>
      <c r="K19" s="37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3">
      <c r="A20" s="32" t="s">
        <v>64</v>
      </c>
      <c r="B20" s="32"/>
      <c r="C20" s="36"/>
      <c r="D20" s="8" t="str">
        <f>Лист1!B16</f>
        <v>ООО "СПЕЦИНЖСТРОЙ"</v>
      </c>
      <c r="E20" s="8"/>
      <c r="F20" s="8"/>
      <c r="G20" s="46" t="s">
        <v>65</v>
      </c>
      <c r="H20" s="90" t="str">
        <f>Лист1!B7</f>
        <v>1146-КС-21-ЭС2</v>
      </c>
      <c r="I20" s="90"/>
      <c r="J20" s="90"/>
      <c r="K20" s="37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3">
      <c r="A21" s="32"/>
      <c r="B21" s="32"/>
      <c r="C21" s="36"/>
      <c r="D21" s="47"/>
      <c r="E21" s="47"/>
      <c r="F21" s="47"/>
      <c r="G21" s="46"/>
      <c r="H21" s="47"/>
      <c r="I21" s="47"/>
      <c r="J21" s="47"/>
      <c r="K21" s="37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33" customHeight="1" x14ac:dyDescent="0.3">
      <c r="A22" s="32" t="s">
        <v>105</v>
      </c>
      <c r="B22" s="32"/>
      <c r="C22" s="36"/>
      <c r="D22" s="47"/>
      <c r="E22" s="90" t="str">
        <f>Лист1!B26</f>
        <v>Труба ЭЛЕКТРОПАЙП 225/170 - N 1250 F2 SDR 13,6</v>
      </c>
      <c r="F22" s="90"/>
      <c r="G22" s="90"/>
      <c r="H22" s="90"/>
      <c r="I22" s="90"/>
      <c r="J22" s="90"/>
      <c r="K22" s="3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3">
      <c r="A23" s="32"/>
      <c r="B23" s="32"/>
      <c r="C23" s="36"/>
      <c r="D23" s="47"/>
      <c r="E23" s="47"/>
      <c r="F23" s="47"/>
      <c r="G23" s="46"/>
      <c r="H23" s="47"/>
      <c r="I23" s="47"/>
      <c r="J23" s="47"/>
      <c r="K23" s="3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 x14ac:dyDescent="0.3">
      <c r="A24" s="32" t="s">
        <v>106</v>
      </c>
      <c r="B24" s="32"/>
      <c r="C24" s="36"/>
      <c r="D24" s="47"/>
      <c r="E24" s="7" t="str">
        <f>Лист1!B27</f>
        <v>d=225 мм.</v>
      </c>
      <c r="F24" s="7"/>
      <c r="G24" s="7"/>
      <c r="H24" s="7"/>
      <c r="I24" s="7"/>
      <c r="J24" s="7"/>
      <c r="K24" s="37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3">
      <c r="A25" s="44"/>
      <c r="B25" s="44"/>
      <c r="C25" s="36"/>
      <c r="D25" s="46"/>
      <c r="E25" s="27"/>
      <c r="F25" s="27"/>
      <c r="G25" s="46"/>
      <c r="H25" s="36"/>
      <c r="I25" s="36"/>
      <c r="J25" s="37"/>
      <c r="K25" s="37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3">
      <c r="A26" s="32" t="s">
        <v>107</v>
      </c>
      <c r="B26" s="44"/>
      <c r="C26" s="36"/>
      <c r="D26" s="6" t="str">
        <f>Лист1!B8</f>
        <v>04.12.2025</v>
      </c>
      <c r="E26" s="6"/>
      <c r="F26" s="6"/>
      <c r="G26" s="46"/>
      <c r="H26" s="27"/>
      <c r="I26" s="27"/>
      <c r="J26" s="37"/>
      <c r="K26" s="37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3">
      <c r="A27" s="44"/>
      <c r="B27" s="44"/>
      <c r="C27" s="36"/>
      <c r="D27" s="27"/>
      <c r="E27" s="37"/>
      <c r="F27" s="37"/>
      <c r="G27" s="37"/>
      <c r="H27" s="37"/>
      <c r="I27" s="37"/>
      <c r="J27" s="37"/>
      <c r="K27" s="37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3">
      <c r="A28" s="32" t="s">
        <v>108</v>
      </c>
      <c r="B28" s="44"/>
      <c r="C28" s="36"/>
      <c r="D28" s="6" t="str">
        <f>Лист1!B9</f>
        <v>12.12.2025</v>
      </c>
      <c r="E28" s="6"/>
      <c r="F28" s="6"/>
      <c r="G28" s="37"/>
      <c r="H28" s="37"/>
      <c r="I28" s="37"/>
      <c r="J28" s="37"/>
      <c r="K28" s="37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3">
      <c r="A29" s="44"/>
      <c r="B29" s="44"/>
      <c r="C29" s="36"/>
      <c r="D29" s="37"/>
      <c r="E29" s="37"/>
      <c r="F29" s="37"/>
      <c r="G29" s="37"/>
      <c r="H29" s="37"/>
      <c r="I29" s="37"/>
      <c r="J29" s="37"/>
      <c r="K29" s="37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3">
      <c r="A30" s="10" t="s">
        <v>69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3">
      <c r="A31" s="32" t="s">
        <v>70</v>
      </c>
      <c r="B31" s="44"/>
      <c r="C31" s="36"/>
      <c r="D31" s="37"/>
      <c r="E31" s="37"/>
      <c r="F31" s="37"/>
      <c r="G31" s="37"/>
      <c r="H31" s="37"/>
      <c r="I31" s="37"/>
      <c r="J31" s="37"/>
      <c r="K31" s="37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 x14ac:dyDescent="0.3">
      <c r="A32" s="32" t="s">
        <v>98</v>
      </c>
      <c r="B32" s="44"/>
      <c r="C32" s="36"/>
      <c r="D32" s="37"/>
      <c r="E32" s="39"/>
      <c r="F32" s="39"/>
      <c r="G32" s="39"/>
      <c r="H32" s="44"/>
      <c r="I32" s="37"/>
      <c r="J32" s="37"/>
      <c r="K32" s="37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 x14ac:dyDescent="0.3">
      <c r="A33" s="44"/>
      <c r="B33" s="44"/>
      <c r="C33" s="36"/>
      <c r="D33" s="37"/>
      <c r="E33" s="37"/>
      <c r="F33" s="37"/>
      <c r="G33" s="37"/>
      <c r="H33" s="37"/>
      <c r="I33" s="37"/>
      <c r="J33" s="37"/>
      <c r="K33" s="37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 x14ac:dyDescent="0.3"/>
    <row r="35" spans="1:26" ht="15.75" customHeight="1" x14ac:dyDescent="0.3"/>
    <row r="36" spans="1:26" ht="15.75" customHeight="1" x14ac:dyDescent="0.3">
      <c r="A36" s="32" t="str">
        <f>Лист1!C20</f>
        <v>Мастер по эксплуатации РС ЦРЭС АО «ОЭК» ___________________Медведев А.С.</v>
      </c>
      <c r="C36" s="32"/>
      <c r="D36" s="32"/>
      <c r="E36" s="32"/>
      <c r="F36" s="32"/>
      <c r="G36" s="32"/>
      <c r="H36" s="32"/>
      <c r="I36" s="32"/>
    </row>
    <row r="37" spans="1:26" ht="15.75" customHeight="1" x14ac:dyDescent="0.3">
      <c r="A37" s="32"/>
      <c r="C37" s="32"/>
      <c r="D37" s="32"/>
      <c r="E37" s="32"/>
      <c r="F37" s="32"/>
      <c r="G37" s="32"/>
      <c r="H37" s="32"/>
      <c r="I37" s="32"/>
    </row>
    <row r="38" spans="1:26" ht="15.75" customHeight="1" x14ac:dyDescent="0.3">
      <c r="A38" s="32" t="str">
        <f>Лист1!C21</f>
        <v>Начальник участка ООО «СПЕЦИНЖСТРОЙ» ___________________Щеглов Р.А.</v>
      </c>
      <c r="C38" s="32"/>
      <c r="D38" s="32"/>
      <c r="E38" s="32"/>
      <c r="F38" s="32"/>
      <c r="G38" s="32"/>
      <c r="H38" s="32"/>
      <c r="I38" s="32"/>
    </row>
    <row r="39" spans="1:26" ht="15.75" customHeight="1" x14ac:dyDescent="0.3">
      <c r="A39" s="32"/>
      <c r="C39" s="32"/>
      <c r="D39" s="32"/>
      <c r="E39" s="32"/>
      <c r="F39" s="32"/>
      <c r="G39" s="32"/>
      <c r="H39" s="32"/>
      <c r="I39" s="32"/>
    </row>
    <row r="40" spans="1:26" ht="15.75" customHeight="1" x14ac:dyDescent="0.3">
      <c r="A40" s="32"/>
      <c r="C40" s="32"/>
      <c r="D40" s="32"/>
      <c r="E40" s="32"/>
      <c r="F40" s="32"/>
      <c r="G40" s="32"/>
      <c r="H40" s="32"/>
      <c r="I40" s="32"/>
    </row>
    <row r="41" spans="1:26" ht="15.75" customHeight="1" x14ac:dyDescent="0.3"/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</sheetData>
  <mergeCells count="16">
    <mergeCell ref="E22:J22"/>
    <mergeCell ref="E24:J24"/>
    <mergeCell ref="D26:F26"/>
    <mergeCell ref="D28:F28"/>
    <mergeCell ref="A30:K30"/>
    <mergeCell ref="A7:K7"/>
    <mergeCell ref="E14:G14"/>
    <mergeCell ref="D17:G17"/>
    <mergeCell ref="C18:H18"/>
    <mergeCell ref="D20:F20"/>
    <mergeCell ref="H20:J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81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10" max="10" width="12.21875" customWidth="1"/>
    <col min="11" max="11" width="21.109375" customWidth="1"/>
  </cols>
  <sheetData>
    <row r="1" spans="1:26" ht="15.75" customHeight="1" x14ac:dyDescent="0.3">
      <c r="A1" s="91" t="s">
        <v>42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26" ht="15.75" customHeight="1" x14ac:dyDescent="0.3">
      <c r="A2" s="91" t="s">
        <v>109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26" ht="15.75" customHeight="1" x14ac:dyDescent="0.3"/>
    <row r="4" spans="1:26" ht="15.75" customHeight="1" x14ac:dyDescent="0.3">
      <c r="A4" s="86" t="s">
        <v>110</v>
      </c>
      <c r="B4" s="86"/>
      <c r="C4" s="63"/>
      <c r="D4" s="63"/>
      <c r="E4" s="63"/>
      <c r="F4" s="63"/>
      <c r="G4" s="87" t="str">
        <f>Лист1!B11</f>
        <v>03.06.2024 г.</v>
      </c>
      <c r="H4" s="87"/>
      <c r="I4" s="87"/>
      <c r="J4" s="87"/>
      <c r="K4" s="87"/>
    </row>
    <row r="5" spans="1:26" ht="15.75" customHeight="1" x14ac:dyDescent="0.3">
      <c r="A5" s="63"/>
      <c r="B5" s="63"/>
      <c r="C5" s="63"/>
      <c r="D5" s="63"/>
      <c r="E5" s="63"/>
      <c r="F5" s="63"/>
      <c r="G5" s="63"/>
      <c r="H5" s="63"/>
      <c r="I5" s="63"/>
    </row>
    <row r="6" spans="1:26" ht="15.75" customHeight="1" x14ac:dyDescent="0.3">
      <c r="A6" s="92" t="s">
        <v>111</v>
      </c>
      <c r="B6" s="92"/>
      <c r="C6" s="92"/>
      <c r="D6" s="92"/>
      <c r="E6" s="92"/>
      <c r="F6" s="64" t="str">
        <f>Лист1!B3</f>
        <v>ПКЛ 20кВ от РП1-45 до ПС 220 кВ Золотаревская (786) ПКЛ 20кВ от РП1-45 до ПС 220 кВ Красносельская (868) РП1-45</v>
      </c>
      <c r="G6" s="64"/>
      <c r="H6" s="64"/>
      <c r="I6" s="64"/>
      <c r="J6" s="64"/>
      <c r="K6" s="64"/>
      <c r="P6" s="65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.75" customHeight="1" x14ac:dyDescent="0.3">
      <c r="A7" s="93" t="s">
        <v>112</v>
      </c>
      <c r="B7" s="93"/>
      <c r="C7" s="93"/>
      <c r="D7" s="93"/>
      <c r="E7" s="93"/>
      <c r="F7" s="93"/>
      <c r="G7" s="93"/>
      <c r="H7" s="93"/>
      <c r="I7" s="93"/>
      <c r="J7" s="93"/>
      <c r="K7" s="93"/>
    </row>
    <row r="8" spans="1:26" ht="15.75" customHeight="1" x14ac:dyDescent="0.3"/>
    <row r="9" spans="1:26" ht="40.5" customHeight="1" x14ac:dyDescent="0.3">
      <c r="A9" s="94" t="str">
        <f>Лист1!B4</f>
        <v>1КЛ: 20кВ ПС «Красносельская» до РП 1-45</v>
      </c>
      <c r="B9" s="94"/>
      <c r="C9" s="94"/>
      <c r="D9" s="94"/>
      <c r="E9" s="94"/>
      <c r="F9" s="94"/>
      <c r="G9" s="94"/>
      <c r="H9" s="94"/>
      <c r="I9" s="94"/>
      <c r="J9" s="94"/>
      <c r="K9" s="94"/>
    </row>
    <row r="10" spans="1:26" ht="12" customHeight="1" x14ac:dyDescent="0.3">
      <c r="A10" s="95" t="s">
        <v>113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26" ht="15.75" customHeight="1" x14ac:dyDescent="0.3">
      <c r="A11" s="96" t="str">
        <f>Лист1!B5</f>
        <v>По адресу: г.Москва, ул. Пресненский Вал, д.16 стр.1</v>
      </c>
      <c r="B11" s="96"/>
      <c r="C11" s="96"/>
      <c r="D11" s="96"/>
      <c r="E11" s="96"/>
      <c r="F11" s="96"/>
      <c r="G11" s="96"/>
      <c r="H11" s="96"/>
      <c r="I11" s="96"/>
      <c r="J11" s="67"/>
      <c r="K11" s="67"/>
    </row>
    <row r="12" spans="1:26" ht="15.75" customHeight="1" x14ac:dyDescent="0.3">
      <c r="A12" s="93" t="s">
        <v>114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</row>
    <row r="13" spans="1:26" ht="15.75" customHeight="1" x14ac:dyDescent="0.3">
      <c r="A13" s="86" t="s">
        <v>115</v>
      </c>
      <c r="B13" s="86"/>
      <c r="C13" s="68" t="str">
        <f>Лист1!B23</f>
        <v>Центрального РЭС АО "ОЭК" и ОТН ДОСРС АО "ОЭК"</v>
      </c>
      <c r="D13" s="55"/>
      <c r="E13" s="55"/>
      <c r="F13" s="55"/>
      <c r="G13" s="55"/>
      <c r="H13" s="55"/>
      <c r="I13" s="55"/>
      <c r="J13" s="55"/>
      <c r="K13" s="55"/>
    </row>
    <row r="14" spans="1:26" ht="15.75" customHeight="1" x14ac:dyDescent="0.3">
      <c r="A14" s="97" t="s">
        <v>116</v>
      </c>
      <c r="B14" s="97"/>
      <c r="C14" s="68" t="str">
        <f>Лист1!B20</f>
        <v>Мастер по ЭРС АО "ОЭК" Медведев А.С.</v>
      </c>
      <c r="D14" s="69"/>
      <c r="E14" s="69"/>
      <c r="F14" s="69"/>
      <c r="G14" s="69"/>
      <c r="H14" s="69"/>
      <c r="I14" s="69"/>
      <c r="J14" s="70"/>
      <c r="K14" s="70"/>
    </row>
    <row r="15" spans="1:26" ht="15.75" customHeight="1" x14ac:dyDescent="0.3">
      <c r="A15" s="98" t="s">
        <v>117</v>
      </c>
      <c r="B15" s="98"/>
      <c r="C15" s="99" t="str">
        <f>Лист1!B21</f>
        <v>Начальник участка ООО «СПЕЦИНЖСТРОЙ» Щеглов Р.А.</v>
      </c>
      <c r="D15" s="99"/>
      <c r="E15" s="99"/>
      <c r="F15" s="99"/>
      <c r="G15" s="99"/>
      <c r="H15" s="99"/>
      <c r="I15" s="99"/>
      <c r="J15" s="99"/>
      <c r="K15" s="99"/>
    </row>
    <row r="16" spans="1:26" ht="15.75" customHeight="1" x14ac:dyDescent="0.3">
      <c r="C16" s="55">
        <f>Лист1!B22</f>
        <v>0</v>
      </c>
      <c r="D16" s="55"/>
      <c r="E16" s="55"/>
      <c r="F16" s="55"/>
      <c r="G16" s="55"/>
      <c r="H16" s="55"/>
      <c r="I16" s="55"/>
      <c r="J16" s="55"/>
      <c r="K16" s="5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5" ht="15.75" customHeight="1" x14ac:dyDescent="0.3">
      <c r="A17" s="63"/>
      <c r="B17" s="63"/>
      <c r="C17" s="86"/>
      <c r="D17" s="86"/>
      <c r="E17" s="86"/>
      <c r="F17" s="86"/>
      <c r="G17" s="86"/>
      <c r="H17" s="86"/>
      <c r="I17" s="86"/>
      <c r="J17" s="86"/>
      <c r="K17" s="86"/>
    </row>
    <row r="18" spans="1:25" ht="15.75" customHeight="1" x14ac:dyDescent="0.3">
      <c r="A18" s="86" t="s">
        <v>58</v>
      </c>
      <c r="B18" s="86"/>
      <c r="C18" s="86"/>
      <c r="D18" s="86"/>
      <c r="E18" s="100" t="str">
        <f>Лист1!B10</f>
        <v>ООО «СПЕЦИНЖСТРОЙ»</v>
      </c>
      <c r="F18" s="100"/>
      <c r="G18" s="100"/>
      <c r="H18" s="100"/>
      <c r="I18" s="100"/>
      <c r="J18" s="100"/>
      <c r="K18" s="100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spans="1:25" ht="15.75" customHeight="1" x14ac:dyDescent="0.3">
      <c r="A19" s="86" t="s">
        <v>59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</row>
    <row r="20" spans="1:25" ht="15.75" customHeight="1" x14ac:dyDescent="0.3">
      <c r="B20" s="86" t="s">
        <v>118</v>
      </c>
      <c r="C20" s="86"/>
      <c r="D20" s="86"/>
      <c r="E20" s="86"/>
      <c r="F20" s="86"/>
      <c r="G20" s="86"/>
      <c r="H20" s="86"/>
      <c r="I20" s="86"/>
      <c r="J20" s="86"/>
      <c r="K20" s="86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spans="1:25" ht="15.75" customHeight="1" x14ac:dyDescent="0.3"/>
    <row r="22" spans="1:25" ht="15.75" customHeight="1" x14ac:dyDescent="0.3">
      <c r="A22" s="92" t="s">
        <v>119</v>
      </c>
      <c r="B22" s="92"/>
      <c r="C22" s="92"/>
      <c r="D22" s="92"/>
      <c r="E22" s="92"/>
      <c r="F22" s="64" t="str">
        <f>Лист1!B6</f>
        <v>№35.1</v>
      </c>
      <c r="G22" s="64"/>
      <c r="H22" s="64"/>
      <c r="I22" s="64"/>
      <c r="J22" s="64"/>
      <c r="K22" s="64"/>
    </row>
    <row r="23" spans="1:25" ht="15.75" customHeight="1" x14ac:dyDescent="0.3">
      <c r="A23" s="93" t="s">
        <v>120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</row>
    <row r="24" spans="1:25" ht="15.75" customHeight="1" x14ac:dyDescent="0.3">
      <c r="B24" s="86" t="s">
        <v>64</v>
      </c>
      <c r="C24" s="86"/>
      <c r="D24" s="86"/>
      <c r="E24" s="86"/>
      <c r="F24" s="100" t="str">
        <f>Лист1!B7</f>
        <v>1146-КС-21-ЭС2</v>
      </c>
      <c r="G24" s="100"/>
      <c r="H24" s="100"/>
      <c r="I24" s="100"/>
      <c r="J24" s="100"/>
      <c r="K24" s="100"/>
      <c r="P24" s="86"/>
      <c r="Q24" s="86"/>
      <c r="R24" s="86"/>
      <c r="S24" s="86"/>
      <c r="T24" s="86"/>
      <c r="U24" s="86"/>
      <c r="V24" s="86"/>
      <c r="W24" s="86"/>
      <c r="X24" s="86"/>
      <c r="Y24" s="86"/>
    </row>
    <row r="25" spans="1:25" ht="15.75" customHeight="1" x14ac:dyDescent="0.3">
      <c r="B25" s="71" t="s">
        <v>121</v>
      </c>
      <c r="C25" s="65"/>
      <c r="D25" s="65"/>
      <c r="E25" s="65"/>
      <c r="F25" s="65"/>
      <c r="G25" s="65"/>
      <c r="H25" s="65"/>
      <c r="I25" s="65"/>
      <c r="J25" s="65"/>
      <c r="K25" s="65"/>
    </row>
    <row r="26" spans="1:25" ht="15.75" customHeight="1" x14ac:dyDescent="0.3">
      <c r="A26" s="100" t="str">
        <f>Лист1!B16</f>
        <v>ООО "СПЕЦИНЖСТРОЙ"</v>
      </c>
      <c r="B26" s="100"/>
      <c r="C26" s="100"/>
      <c r="D26" s="100"/>
      <c r="E26" s="100"/>
      <c r="F26" s="100"/>
      <c r="G26" s="100"/>
      <c r="H26" s="100"/>
      <c r="I26" s="100"/>
      <c r="J26" s="100"/>
      <c r="K26" s="100"/>
    </row>
    <row r="27" spans="1:25" ht="15.75" customHeight="1" x14ac:dyDescent="0.3">
      <c r="A27" s="102" t="s">
        <v>122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</row>
    <row r="28" spans="1:25" ht="15.75" customHeight="1" x14ac:dyDescent="0.3">
      <c r="B28" s="86" t="s">
        <v>123</v>
      </c>
      <c r="C28" s="86"/>
      <c r="D28" s="86"/>
      <c r="E28" s="86"/>
      <c r="F28" s="86"/>
      <c r="G28" s="86"/>
      <c r="H28" s="86"/>
      <c r="I28" s="86"/>
      <c r="J28" s="86"/>
      <c r="K28" s="86"/>
    </row>
    <row r="29" spans="1:25" ht="15.75" customHeight="1" x14ac:dyDescent="0.3">
      <c r="A29" s="100" t="s">
        <v>124</v>
      </c>
      <c r="B29" s="100"/>
      <c r="C29" s="100"/>
      <c r="D29" s="100"/>
      <c r="E29" s="100"/>
      <c r="F29" s="100"/>
      <c r="G29" s="100"/>
      <c r="H29" s="100"/>
      <c r="I29" s="100"/>
      <c r="J29" s="100"/>
      <c r="K29" s="100"/>
    </row>
    <row r="30" spans="1:25" ht="15.75" customHeight="1" x14ac:dyDescent="0.3">
      <c r="A30" s="93" t="s">
        <v>125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</row>
    <row r="31" spans="1:25" ht="15.75" customHeight="1" x14ac:dyDescent="0.3">
      <c r="B31" s="86" t="s">
        <v>67</v>
      </c>
      <c r="C31" s="86"/>
      <c r="D31" s="86"/>
      <c r="E31" s="86" t="str">
        <f>Лист1!B8</f>
        <v>04.12.2025</v>
      </c>
      <c r="F31" s="86"/>
      <c r="G31" s="86"/>
      <c r="H31" s="86"/>
      <c r="I31" s="86"/>
      <c r="J31" s="86"/>
      <c r="K31" s="86"/>
    </row>
    <row r="32" spans="1:25" ht="15.75" customHeight="1" x14ac:dyDescent="0.3"/>
    <row r="33" spans="1:11" ht="15.75" customHeight="1" x14ac:dyDescent="0.3">
      <c r="B33" s="86" t="s">
        <v>68</v>
      </c>
      <c r="C33" s="86"/>
      <c r="D33" s="86"/>
      <c r="E33" s="86" t="str">
        <f>Лист1!B9</f>
        <v>12.12.2025</v>
      </c>
      <c r="F33" s="86"/>
      <c r="G33" s="86"/>
      <c r="H33" s="86"/>
      <c r="I33" s="86"/>
      <c r="J33" s="86"/>
      <c r="K33" s="86"/>
    </row>
    <row r="34" spans="1:11" ht="15.75" customHeight="1" x14ac:dyDescent="0.3"/>
    <row r="35" spans="1:11" ht="15.75" customHeight="1" x14ac:dyDescent="0.3">
      <c r="A35" s="103" t="s">
        <v>69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</row>
    <row r="36" spans="1:11" ht="15.75" customHeight="1" x14ac:dyDescent="0.3"/>
    <row r="37" spans="1:11" ht="15.75" customHeight="1" x14ac:dyDescent="0.3">
      <c r="B37" s="86" t="s">
        <v>126</v>
      </c>
      <c r="C37" s="86"/>
      <c r="D37" s="86"/>
      <c r="E37" s="86"/>
      <c r="F37" s="86"/>
      <c r="G37" s="86"/>
      <c r="H37" s="86"/>
      <c r="I37" s="86"/>
      <c r="J37" s="86"/>
      <c r="K37" s="86"/>
    </row>
    <row r="38" spans="1:11" ht="15.75" customHeight="1" x14ac:dyDescent="0.3">
      <c r="A38" s="86" t="s">
        <v>127</v>
      </c>
      <c r="B38" s="86"/>
      <c r="C38" s="86"/>
      <c r="D38" s="86"/>
    </row>
    <row r="39" spans="1:11" ht="15.75" customHeight="1" x14ac:dyDescent="0.3">
      <c r="B39" s="86" t="s">
        <v>128</v>
      </c>
      <c r="C39" s="86"/>
      <c r="D39" s="86"/>
      <c r="E39" s="86"/>
      <c r="F39" s="86"/>
      <c r="G39" s="86"/>
      <c r="H39" s="86"/>
      <c r="I39" s="86"/>
      <c r="J39" s="86"/>
      <c r="K39" s="86"/>
    </row>
    <row r="40" spans="1:11" ht="15.75" customHeight="1" x14ac:dyDescent="0.3">
      <c r="A40" s="100" t="s">
        <v>129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</row>
    <row r="41" spans="1:11" ht="15.75" customHeight="1" x14ac:dyDescent="0.3"/>
    <row r="42" spans="1:11" ht="15.75" customHeight="1" x14ac:dyDescent="0.3">
      <c r="A42" s="65"/>
      <c r="B42" s="86" t="str">
        <f>Лист1!B20</f>
        <v>Мастер по ЭРС АО "ОЭК" Медведев А.С.</v>
      </c>
      <c r="C42" s="86"/>
      <c r="D42" s="86"/>
      <c r="E42" s="86"/>
      <c r="F42" s="86"/>
      <c r="G42" s="86"/>
      <c r="H42" s="86"/>
      <c r="I42" s="86"/>
      <c r="J42" s="86"/>
      <c r="K42" s="65"/>
    </row>
    <row r="43" spans="1:11" ht="15.75" customHeight="1" x14ac:dyDescent="0.3">
      <c r="B43" s="65" t="str">
        <f>Лист1!B23</f>
        <v>Центрального РЭС АО "ОЭК" и ОТН ДОСРС АО "ОЭК"</v>
      </c>
    </row>
    <row r="44" spans="1:11" ht="15.75" customHeight="1" x14ac:dyDescent="0.3">
      <c r="B44" s="86" t="str">
        <f>Лист1!B21</f>
        <v>Начальник участка ООО «СПЕЦИНЖСТРОЙ» Щеглов Р.А.</v>
      </c>
      <c r="C44" s="86"/>
      <c r="D44" s="86"/>
      <c r="E44" s="86"/>
      <c r="F44" s="86"/>
      <c r="G44" s="86"/>
      <c r="H44" s="86"/>
      <c r="I44" s="86"/>
      <c r="J44" s="86"/>
    </row>
    <row r="45" spans="1:11" ht="15.75" customHeight="1" x14ac:dyDescent="0.3">
      <c r="A45" s="65"/>
      <c r="B45" s="86">
        <f>Лист1!B22</f>
        <v>0</v>
      </c>
      <c r="C45" s="86"/>
      <c r="D45" s="86"/>
      <c r="E45" s="86"/>
      <c r="F45" s="86"/>
      <c r="G45" s="86"/>
      <c r="H45" s="86"/>
      <c r="I45" s="86"/>
      <c r="J45" s="86"/>
      <c r="K45" s="65"/>
    </row>
    <row r="46" spans="1:11" ht="15.75" customHeight="1" x14ac:dyDescent="0.3">
      <c r="B46" s="86"/>
      <c r="C46" s="86"/>
      <c r="D46" s="86"/>
      <c r="E46" s="86"/>
      <c r="F46" s="86"/>
      <c r="G46" s="86"/>
      <c r="H46" s="86"/>
      <c r="I46" s="86"/>
      <c r="J46" s="86"/>
    </row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</sheetData>
  <mergeCells count="45">
    <mergeCell ref="B44:J44"/>
    <mergeCell ref="B45:J45"/>
    <mergeCell ref="B46:J46"/>
    <mergeCell ref="B37:K37"/>
    <mergeCell ref="A38:D38"/>
    <mergeCell ref="B39:K39"/>
    <mergeCell ref="A40:K40"/>
    <mergeCell ref="B42:J42"/>
    <mergeCell ref="B31:D31"/>
    <mergeCell ref="E31:K31"/>
    <mergeCell ref="B33:D33"/>
    <mergeCell ref="E33:K33"/>
    <mergeCell ref="A35:K35"/>
    <mergeCell ref="A26:K26"/>
    <mergeCell ref="A27:K27"/>
    <mergeCell ref="B28:K28"/>
    <mergeCell ref="A29:K29"/>
    <mergeCell ref="A30:K30"/>
    <mergeCell ref="B20:K20"/>
    <mergeCell ref="P20:Y20"/>
    <mergeCell ref="A22:E22"/>
    <mergeCell ref="A23:K23"/>
    <mergeCell ref="B24:E24"/>
    <mergeCell ref="F24:K24"/>
    <mergeCell ref="P24:Y24"/>
    <mergeCell ref="C17:K17"/>
    <mergeCell ref="A18:D18"/>
    <mergeCell ref="E18:K18"/>
    <mergeCell ref="P18:Y18"/>
    <mergeCell ref="A19:K19"/>
    <mergeCell ref="A13:B13"/>
    <mergeCell ref="A14:B14"/>
    <mergeCell ref="A15:B15"/>
    <mergeCell ref="C15:K15"/>
    <mergeCell ref="P16:Z16"/>
    <mergeCell ref="A7:K7"/>
    <mergeCell ref="A9:K9"/>
    <mergeCell ref="A10:K10"/>
    <mergeCell ref="A11:I11"/>
    <mergeCell ref="A12:K12"/>
    <mergeCell ref="A1:K1"/>
    <mergeCell ref="A2:K2"/>
    <mergeCell ref="A4:B4"/>
    <mergeCell ref="G4:K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5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8.554687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26" t="s">
        <v>38</v>
      </c>
      <c r="C1" s="27" t="str">
        <f>Лист1!B14</f>
        <v>АО "ОЭК"</v>
      </c>
      <c r="D1" s="27"/>
      <c r="E1" s="27"/>
      <c r="F1" s="27"/>
      <c r="G1" s="28"/>
      <c r="H1" s="27"/>
      <c r="I1" s="27"/>
      <c r="J1" s="27"/>
      <c r="K1" s="27"/>
    </row>
    <row r="2" spans="1:26" ht="13.5" customHeight="1" x14ac:dyDescent="0.3">
      <c r="B2" s="26" t="s">
        <v>56</v>
      </c>
      <c r="C2" s="27" t="str">
        <f>Лист1!B15</f>
        <v>ООО «СПЕЦИНЖСТРОЙ»</v>
      </c>
      <c r="D2" s="27"/>
      <c r="E2" s="27"/>
      <c r="F2" s="27"/>
      <c r="G2" s="28"/>
      <c r="H2" s="27"/>
      <c r="I2" s="27"/>
      <c r="J2" s="27"/>
      <c r="K2" s="27"/>
    </row>
    <row r="3" spans="1:26" ht="40.5" customHeight="1" x14ac:dyDescent="0.3">
      <c r="B3" s="29" t="s">
        <v>40</v>
      </c>
      <c r="C3" s="89" t="str">
        <f>Лист1!B4</f>
        <v>1КЛ: 20кВ ПС «Красносельская» до РП 1-45</v>
      </c>
      <c r="D3" s="89"/>
      <c r="E3" s="89"/>
      <c r="F3" s="89"/>
      <c r="G3" s="89"/>
      <c r="H3" s="89"/>
      <c r="I3" s="89"/>
      <c r="J3" s="89"/>
      <c r="K3" s="89"/>
    </row>
    <row r="4" spans="1:26" ht="13.5" customHeight="1" x14ac:dyDescent="0.3">
      <c r="B4" s="29" t="s">
        <v>41</v>
      </c>
      <c r="C4" s="30" t="str">
        <f>Лист1!B11</f>
        <v>03.06.2024 г.</v>
      </c>
      <c r="G4" s="13"/>
      <c r="H4" s="13"/>
      <c r="I4" s="13"/>
      <c r="J4" s="13"/>
      <c r="K4" s="31"/>
    </row>
    <row r="5" spans="1:26" ht="9.75" customHeight="1" x14ac:dyDescent="0.3">
      <c r="A5" s="12"/>
      <c r="B5" s="12"/>
      <c r="G5" s="11"/>
      <c r="H5" s="11"/>
      <c r="I5" s="11"/>
      <c r="J5" s="11"/>
      <c r="K5" s="11"/>
      <c r="O5" s="33"/>
      <c r="P5" s="33"/>
      <c r="Q5" s="33"/>
      <c r="R5" s="33"/>
      <c r="S5" s="33"/>
    </row>
    <row r="6" spans="1:26" ht="15.7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6" ht="15.75" customHeight="1" x14ac:dyDescent="0.3">
      <c r="A7" s="10" t="s">
        <v>130</v>
      </c>
      <c r="B7" s="10"/>
      <c r="C7" s="10"/>
      <c r="D7" s="10"/>
      <c r="E7" s="10"/>
      <c r="F7" s="10"/>
      <c r="G7" s="10"/>
      <c r="H7" s="10"/>
      <c r="I7" s="10"/>
      <c r="J7" s="10"/>
      <c r="K7" s="10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1.2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36"/>
      <c r="B10" s="36"/>
      <c r="C10" s="36"/>
      <c r="D10" s="32"/>
      <c r="E10" s="32"/>
      <c r="F10" s="32"/>
      <c r="G10" s="32"/>
      <c r="H10" s="32"/>
      <c r="I10" s="32"/>
      <c r="J10" s="32"/>
      <c r="K10" s="32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8" customHeight="1" x14ac:dyDescent="0.3">
      <c r="A11" s="36" t="str">
        <f>Лист1!B20</f>
        <v>Мастер по ЭРС АО "ОЭК" Медведев А.С.</v>
      </c>
      <c r="B11" s="38"/>
      <c r="D11" s="36"/>
      <c r="E11" s="36"/>
      <c r="F11" s="36"/>
      <c r="G11" s="36"/>
      <c r="H11" s="36"/>
      <c r="I11" s="36"/>
      <c r="J11" s="36"/>
      <c r="K11" s="36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2" t="str">
        <f>Лист1!B21</f>
        <v>Начальник участка ООО «СПЕЦИНЖСТРОЙ» Щеглов Р.А.</v>
      </c>
      <c r="B12" s="38"/>
      <c r="D12" s="32"/>
      <c r="E12" s="32"/>
      <c r="F12" s="32"/>
      <c r="G12" s="32"/>
      <c r="H12" s="32"/>
      <c r="I12" s="32"/>
      <c r="J12" s="32"/>
      <c r="K12" s="3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 x14ac:dyDescent="0.3">
      <c r="A13" s="34"/>
      <c r="B13" s="34"/>
      <c r="C13" s="36"/>
      <c r="D13" s="34"/>
      <c r="E13" s="34"/>
      <c r="F13" s="34"/>
      <c r="G13" s="34"/>
      <c r="H13" s="34"/>
      <c r="I13" s="34"/>
      <c r="J13" s="34"/>
      <c r="K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 x14ac:dyDescent="0.3">
      <c r="A14" s="33" t="s">
        <v>58</v>
      </c>
      <c r="B14" s="37"/>
      <c r="C14" s="36"/>
      <c r="D14" s="37"/>
      <c r="E14" s="8" t="str">
        <f>Лист1!B10</f>
        <v>ООО «СПЕЦИНЖСТРОЙ»</v>
      </c>
      <c r="F14" s="8"/>
      <c r="G14" s="8"/>
      <c r="H14" s="39"/>
      <c r="I14" s="39"/>
      <c r="J14" s="39"/>
      <c r="K14" s="36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 x14ac:dyDescent="0.3">
      <c r="A15" s="39" t="s">
        <v>59</v>
      </c>
      <c r="B15" s="39"/>
      <c r="C15" s="39"/>
      <c r="D15" s="36"/>
      <c r="E15" s="36"/>
      <c r="F15" s="39"/>
      <c r="G15" s="39"/>
      <c r="H15" s="39"/>
      <c r="I15" s="39"/>
      <c r="J15" s="36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 x14ac:dyDescent="0.3">
      <c r="A16" s="32" t="s">
        <v>60</v>
      </c>
      <c r="B16" s="37"/>
      <c r="C16" s="36"/>
      <c r="D16" s="34"/>
      <c r="E16" s="34"/>
      <c r="F16" s="34"/>
      <c r="G16" s="34"/>
      <c r="H16" s="34"/>
      <c r="I16" s="34"/>
      <c r="J16" s="34"/>
      <c r="K16" s="3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 x14ac:dyDescent="0.3">
      <c r="A17" s="32" t="s">
        <v>131</v>
      </c>
      <c r="B17" s="37"/>
      <c r="C17" s="36"/>
      <c r="D17" s="39"/>
      <c r="E17" s="39"/>
      <c r="F17" s="8" t="str">
        <f>Лист1!B6</f>
        <v>№35.1</v>
      </c>
      <c r="G17" s="8"/>
      <c r="H17" s="8"/>
      <c r="I17" s="32" t="s">
        <v>62</v>
      </c>
      <c r="J17" s="37"/>
      <c r="K17" s="3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 x14ac:dyDescent="0.3">
      <c r="A18" s="32" t="s">
        <v>63</v>
      </c>
      <c r="B18" s="37"/>
      <c r="C18" s="7" t="str">
        <f>Лист1!B5</f>
        <v>По адресу: г.Москва, ул. Пресненский Вал, д.16 стр.1</v>
      </c>
      <c r="D18" s="7"/>
      <c r="E18" s="7"/>
      <c r="F18" s="7"/>
      <c r="G18" s="7"/>
      <c r="H18" s="7"/>
      <c r="I18" s="32"/>
      <c r="J18" s="37"/>
      <c r="K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3">
      <c r="A19" s="44"/>
      <c r="B19" s="44"/>
      <c r="C19" s="36"/>
      <c r="D19" s="46"/>
      <c r="E19" s="46"/>
      <c r="F19" s="47"/>
      <c r="G19" s="46"/>
      <c r="H19" s="46"/>
      <c r="I19" s="47"/>
      <c r="J19" s="37"/>
      <c r="K19" s="37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3">
      <c r="A20" s="32" t="s">
        <v>64</v>
      </c>
      <c r="B20" s="32"/>
      <c r="C20" s="36"/>
      <c r="D20" s="8" t="str">
        <f>Лист1!B16</f>
        <v>ООО "СПЕЦИНЖСТРОЙ"</v>
      </c>
      <c r="E20" s="8"/>
      <c r="F20" s="8"/>
      <c r="G20" s="46" t="s">
        <v>65</v>
      </c>
      <c r="H20" s="42" t="str">
        <f>Лист1!B7</f>
        <v>1146-КС-21-ЭС2</v>
      </c>
      <c r="I20" s="42"/>
      <c r="J20" s="42"/>
      <c r="K20" s="37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3">
      <c r="A21" s="32"/>
      <c r="B21" s="32"/>
      <c r="C21" s="36"/>
      <c r="D21" s="47"/>
      <c r="E21" s="47"/>
      <c r="F21" s="47"/>
      <c r="G21" s="46"/>
      <c r="H21" s="47"/>
      <c r="I21" s="47"/>
      <c r="J21" s="47"/>
      <c r="K21" s="37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28.5" customHeight="1" x14ac:dyDescent="0.3">
      <c r="A22" s="32" t="s">
        <v>97</v>
      </c>
      <c r="B22" s="32"/>
      <c r="C22" s="36"/>
      <c r="D22" s="47"/>
      <c r="E22" s="90" t="str">
        <f>Лист1!B26</f>
        <v>Труба ЭЛЕКТРОПАЙП 225/170 - N 1250 F2 SDR 13,6</v>
      </c>
      <c r="F22" s="90"/>
      <c r="G22" s="90"/>
      <c r="H22" s="90"/>
      <c r="I22" s="90"/>
      <c r="J22" s="90"/>
      <c r="K22" s="3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3">
      <c r="A23" s="44"/>
      <c r="B23" s="44"/>
      <c r="C23" s="36"/>
      <c r="D23" s="46"/>
      <c r="E23" s="27"/>
      <c r="F23" s="27"/>
      <c r="G23" s="46"/>
      <c r="H23" s="36"/>
      <c r="I23" s="36"/>
      <c r="J23" s="37"/>
      <c r="K23" s="3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5.75" customHeight="1" x14ac:dyDescent="0.3">
      <c r="A24" s="32" t="s">
        <v>67</v>
      </c>
      <c r="B24" s="44"/>
      <c r="C24" s="36"/>
      <c r="D24" s="6" t="str">
        <f>Лист1!B8</f>
        <v>04.12.2025</v>
      </c>
      <c r="E24" s="6"/>
      <c r="F24" s="6"/>
      <c r="G24" s="46"/>
      <c r="H24" s="27"/>
      <c r="I24" s="27"/>
      <c r="J24" s="37"/>
      <c r="K24" s="37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3">
      <c r="A25" s="44"/>
      <c r="B25" s="44"/>
      <c r="C25" s="36"/>
      <c r="D25" s="27"/>
      <c r="E25" s="37"/>
      <c r="F25" s="37"/>
      <c r="G25" s="37"/>
      <c r="H25" s="37"/>
      <c r="I25" s="37"/>
      <c r="J25" s="37"/>
      <c r="K25" s="37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3">
      <c r="A26" s="32" t="s">
        <v>68</v>
      </c>
      <c r="B26" s="44"/>
      <c r="C26" s="36"/>
      <c r="D26" s="6" t="str">
        <f>Лист1!B9</f>
        <v>12.12.2025</v>
      </c>
      <c r="E26" s="6"/>
      <c r="F26" s="6"/>
      <c r="G26" s="37"/>
      <c r="H26" s="37"/>
      <c r="I26" s="37"/>
      <c r="J26" s="37"/>
      <c r="K26" s="37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3">
      <c r="A27" s="44"/>
      <c r="B27" s="44"/>
      <c r="C27" s="36"/>
      <c r="D27" s="37"/>
      <c r="E27" s="37"/>
      <c r="F27" s="37"/>
      <c r="G27" s="37"/>
      <c r="H27" s="37"/>
      <c r="I27" s="37"/>
      <c r="J27" s="37"/>
      <c r="K27" s="37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3">
      <c r="A28" s="10" t="s">
        <v>69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3">
      <c r="A29" s="32" t="s">
        <v>70</v>
      </c>
      <c r="B29" s="44"/>
      <c r="C29" s="36"/>
      <c r="D29" s="37"/>
      <c r="E29" s="37"/>
      <c r="F29" s="37"/>
      <c r="G29" s="37"/>
      <c r="H29" s="37"/>
      <c r="I29" s="37"/>
      <c r="J29" s="37"/>
      <c r="K29" s="37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3">
      <c r="A30" s="32" t="s">
        <v>98</v>
      </c>
      <c r="B30" s="44"/>
      <c r="C30" s="36"/>
      <c r="D30" s="37"/>
      <c r="E30" s="39"/>
      <c r="F30" s="39"/>
      <c r="G30" s="39"/>
      <c r="H30" s="44"/>
      <c r="I30" s="37"/>
      <c r="J30" s="37"/>
      <c r="K30" s="37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3">
      <c r="A31" s="44"/>
      <c r="B31" s="44"/>
      <c r="C31" s="36"/>
      <c r="D31" s="37"/>
      <c r="E31" s="47"/>
      <c r="F31" s="47"/>
      <c r="G31" s="47"/>
      <c r="H31" s="44"/>
      <c r="I31" s="37"/>
      <c r="J31" s="37"/>
      <c r="K31" s="37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 x14ac:dyDescent="0.3">
      <c r="A32" s="44"/>
      <c r="B32" s="44"/>
      <c r="C32" s="36"/>
      <c r="D32" s="37"/>
      <c r="E32" s="37"/>
      <c r="F32" s="37"/>
      <c r="G32" s="37"/>
      <c r="H32" s="37"/>
      <c r="I32" s="37"/>
      <c r="J32" s="37"/>
      <c r="K32" s="37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9" ht="15.75" customHeight="1" x14ac:dyDescent="0.3"/>
    <row r="34" spans="1:9" ht="15.75" customHeight="1" x14ac:dyDescent="0.3"/>
    <row r="35" spans="1:9" ht="15.75" customHeight="1" x14ac:dyDescent="0.3">
      <c r="A35" s="32" t="str">
        <f>Лист1!C20</f>
        <v>Мастер по эксплуатации РС ЦРЭС АО «ОЭК» ___________________Медведев А.С.</v>
      </c>
      <c r="C35" s="32"/>
      <c r="D35" s="32"/>
      <c r="E35" s="32"/>
      <c r="F35" s="32"/>
      <c r="G35" s="32"/>
      <c r="H35" s="32"/>
      <c r="I35" s="32"/>
    </row>
    <row r="36" spans="1:9" ht="15.75" customHeight="1" x14ac:dyDescent="0.3">
      <c r="A36" s="32"/>
      <c r="C36" s="32"/>
      <c r="D36" s="32"/>
      <c r="E36" s="32"/>
      <c r="F36" s="32"/>
      <c r="G36" s="32"/>
      <c r="H36" s="32"/>
      <c r="I36" s="32"/>
    </row>
    <row r="37" spans="1:9" ht="15.75" customHeight="1" x14ac:dyDescent="0.3">
      <c r="A37" s="32" t="str">
        <f>Лист1!C21</f>
        <v>Начальник участка ООО «СПЕЦИНЖСТРОЙ» ___________________Щеглов Р.А.</v>
      </c>
      <c r="C37" s="32"/>
      <c r="D37" s="32"/>
      <c r="E37" s="32"/>
      <c r="F37" s="32"/>
      <c r="G37" s="32"/>
      <c r="H37" s="32"/>
      <c r="I37" s="32"/>
    </row>
    <row r="38" spans="1:9" ht="15.75" customHeight="1" x14ac:dyDescent="0.3">
      <c r="A38" s="32"/>
      <c r="C38" s="32"/>
      <c r="D38" s="32"/>
      <c r="E38" s="32"/>
      <c r="F38" s="32"/>
      <c r="G38" s="32"/>
      <c r="H38" s="32"/>
      <c r="I38" s="32"/>
    </row>
    <row r="39" spans="1:9" ht="15.75" customHeight="1" x14ac:dyDescent="0.3">
      <c r="A39" s="32"/>
      <c r="C39" s="32"/>
      <c r="D39" s="32"/>
      <c r="E39" s="32"/>
      <c r="F39" s="32"/>
      <c r="G39" s="32"/>
      <c r="H39" s="32"/>
      <c r="I39" s="32"/>
    </row>
    <row r="40" spans="1:9" ht="15.75" customHeight="1" x14ac:dyDescent="0.3"/>
    <row r="41" spans="1:9" ht="15.75" customHeight="1" x14ac:dyDescent="0.3"/>
    <row r="42" spans="1:9" ht="15.75" customHeight="1" x14ac:dyDescent="0.3"/>
    <row r="43" spans="1:9" ht="15.75" customHeight="1" x14ac:dyDescent="0.3"/>
    <row r="44" spans="1:9" ht="15.75" customHeight="1" x14ac:dyDescent="0.3"/>
    <row r="45" spans="1:9" ht="15.75" customHeight="1" x14ac:dyDescent="0.3"/>
    <row r="46" spans="1:9" ht="15.75" customHeight="1" x14ac:dyDescent="0.3"/>
    <row r="47" spans="1:9" ht="15.75" customHeight="1" x14ac:dyDescent="0.3"/>
    <row r="48" spans="1:9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</sheetData>
  <mergeCells count="14">
    <mergeCell ref="E22:J22"/>
    <mergeCell ref="D24:F24"/>
    <mergeCell ref="D26:F26"/>
    <mergeCell ref="A28:K28"/>
    <mergeCell ref="A7:K7"/>
    <mergeCell ref="E14:G14"/>
    <mergeCell ref="F17:H17"/>
    <mergeCell ref="C18:H18"/>
    <mergeCell ref="D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7"/>
  <sheetViews>
    <sheetView zoomScaleNormal="100" workbookViewId="0"/>
  </sheetViews>
  <sheetFormatPr defaultColWidth="8.6640625" defaultRowHeight="15" customHeight="1" x14ac:dyDescent="0.3"/>
  <cols>
    <col min="1" max="1" width="4.109375" customWidth="1"/>
    <col min="2" max="2" width="13.6640625" customWidth="1"/>
    <col min="3" max="3" width="16.5546875" customWidth="1"/>
    <col min="4" max="4" width="10.88671875" customWidth="1"/>
    <col min="5" max="5" width="6.44140625" customWidth="1"/>
    <col min="6" max="6" width="16.6640625" customWidth="1"/>
    <col min="7" max="7" width="10.88671875" customWidth="1"/>
    <col min="8" max="8" width="9.21875" customWidth="1"/>
    <col min="10" max="10" width="8.44140625" customWidth="1"/>
    <col min="11" max="11" width="13" customWidth="1"/>
    <col min="12" max="12" width="0.21875" customWidth="1"/>
    <col min="13" max="13" width="9.109375" customWidth="1"/>
  </cols>
  <sheetData>
    <row r="1" spans="1:26" ht="13.5" customHeight="1" x14ac:dyDescent="0.3">
      <c r="B1" s="26" t="s">
        <v>38</v>
      </c>
      <c r="C1" s="27" t="str">
        <f>Лист1!B14</f>
        <v>АО "ОЭК"</v>
      </c>
      <c r="D1" s="27"/>
      <c r="E1" s="27"/>
      <c r="F1" s="27"/>
      <c r="G1" s="28"/>
      <c r="H1" s="27"/>
      <c r="I1" s="27"/>
      <c r="J1" s="27"/>
      <c r="K1" s="27"/>
    </row>
    <row r="2" spans="1:26" ht="13.5" customHeight="1" x14ac:dyDescent="0.3">
      <c r="B2" s="26" t="s">
        <v>56</v>
      </c>
      <c r="C2" s="27" t="str">
        <f>Лист1!B15</f>
        <v>ООО «СПЕЦИНЖСТРОЙ»</v>
      </c>
      <c r="D2" s="27"/>
      <c r="E2" s="27"/>
      <c r="F2" s="27"/>
      <c r="G2" s="28"/>
      <c r="H2" s="27"/>
      <c r="I2" s="27"/>
      <c r="J2" s="27"/>
      <c r="K2" s="27"/>
    </row>
    <row r="3" spans="1:26" ht="39.75" customHeight="1" x14ac:dyDescent="0.3">
      <c r="B3" s="29" t="s">
        <v>40</v>
      </c>
      <c r="C3" s="89" t="str">
        <f>Лист1!B4</f>
        <v>1КЛ: 20кВ ПС «Красносельская» до РП 1-45</v>
      </c>
      <c r="D3" s="89"/>
      <c r="E3" s="89"/>
      <c r="F3" s="89"/>
      <c r="G3" s="89"/>
      <c r="H3" s="89"/>
      <c r="I3" s="89"/>
      <c r="J3" s="89"/>
      <c r="K3" s="89"/>
    </row>
    <row r="4" spans="1:26" ht="13.5" customHeight="1" x14ac:dyDescent="0.3">
      <c r="B4" s="29" t="s">
        <v>41</v>
      </c>
      <c r="C4" s="30" t="str">
        <f>Лист1!B11</f>
        <v>03.06.2024 г.</v>
      </c>
      <c r="G4" s="13"/>
      <c r="H4" s="13"/>
      <c r="I4" s="13"/>
      <c r="J4" s="13"/>
      <c r="K4" s="31"/>
    </row>
    <row r="5" spans="1:26" ht="9.75" customHeight="1" x14ac:dyDescent="0.3">
      <c r="A5" s="12"/>
      <c r="B5" s="12"/>
      <c r="G5" s="11"/>
      <c r="H5" s="11"/>
      <c r="I5" s="11"/>
      <c r="J5" s="11"/>
      <c r="K5" s="11"/>
      <c r="O5" s="33"/>
      <c r="P5" s="33"/>
      <c r="Q5" s="33"/>
      <c r="R5" s="33"/>
      <c r="S5" s="33"/>
    </row>
    <row r="6" spans="1:26" ht="15.75" customHeight="1" x14ac:dyDescent="0.3">
      <c r="A6" s="10" t="s">
        <v>42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6" ht="15.75" customHeight="1" x14ac:dyDescent="0.3">
      <c r="A7" s="10" t="s">
        <v>132</v>
      </c>
      <c r="B7" s="10"/>
      <c r="C7" s="10"/>
      <c r="D7" s="10"/>
      <c r="E7" s="10"/>
      <c r="F7" s="10"/>
      <c r="G7" s="10"/>
      <c r="H7" s="10"/>
      <c r="I7" s="10"/>
      <c r="J7" s="10"/>
      <c r="K7" s="10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1.25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5.75" customHeight="1" x14ac:dyDescent="0.3">
      <c r="A9" s="33" t="s">
        <v>44</v>
      </c>
      <c r="B9" s="33"/>
      <c r="C9" s="33"/>
      <c r="D9" s="34"/>
      <c r="E9" s="34"/>
      <c r="F9" s="34"/>
      <c r="G9" s="34"/>
      <c r="H9" s="34"/>
      <c r="I9" s="34"/>
      <c r="J9" s="34"/>
      <c r="K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5.75" customHeight="1" x14ac:dyDescent="0.3">
      <c r="A10" s="36"/>
      <c r="B10" s="36"/>
      <c r="C10" s="36"/>
      <c r="D10" s="32"/>
      <c r="E10" s="32"/>
      <c r="F10" s="32"/>
      <c r="G10" s="32"/>
      <c r="H10" s="32"/>
      <c r="I10" s="32"/>
      <c r="J10" s="32"/>
      <c r="K10" s="32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8" customHeight="1" x14ac:dyDescent="0.3">
      <c r="A11" s="36" t="str">
        <f>Лист1!B20</f>
        <v>Мастер по ЭРС АО "ОЭК" Медведев А.С.</v>
      </c>
      <c r="B11" s="38"/>
      <c r="D11" s="36"/>
      <c r="E11" s="36"/>
      <c r="F11" s="36"/>
      <c r="G11" s="36"/>
      <c r="H11" s="36"/>
      <c r="I11" s="36"/>
      <c r="J11" s="36"/>
      <c r="K11" s="36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5.75" customHeight="1" x14ac:dyDescent="0.3">
      <c r="A12" s="32" t="str">
        <f>Лист1!B21</f>
        <v>Начальник участка ООО «СПЕЦИНЖСТРОЙ» Щеглов Р.А.</v>
      </c>
      <c r="B12" s="38"/>
      <c r="D12" s="32"/>
      <c r="E12" s="32"/>
      <c r="F12" s="32"/>
      <c r="G12" s="32"/>
      <c r="H12" s="32"/>
      <c r="I12" s="32"/>
      <c r="J12" s="32"/>
      <c r="K12" s="3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5.75" customHeight="1" x14ac:dyDescent="0.3">
      <c r="A13" s="36">
        <f>Лист1!B22</f>
        <v>0</v>
      </c>
      <c r="B13" s="34"/>
      <c r="D13" s="34"/>
      <c r="E13" s="34"/>
      <c r="F13" s="34"/>
      <c r="G13" s="34"/>
      <c r="H13" s="34"/>
      <c r="I13" s="34"/>
      <c r="J13" s="34"/>
      <c r="K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5.75" customHeight="1" x14ac:dyDescent="0.3">
      <c r="A14" s="33" t="s">
        <v>58</v>
      </c>
      <c r="B14" s="37"/>
      <c r="C14" s="36"/>
      <c r="D14" s="37"/>
      <c r="E14" s="8" t="str">
        <f>Лист1!B10</f>
        <v>ООО «СПЕЦИНЖСТРОЙ»</v>
      </c>
      <c r="F14" s="8"/>
      <c r="G14" s="8"/>
      <c r="H14" s="39"/>
      <c r="I14" s="39"/>
      <c r="J14" s="39"/>
      <c r="K14" s="36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5.75" customHeight="1" x14ac:dyDescent="0.3">
      <c r="A15" s="39" t="s">
        <v>59</v>
      </c>
      <c r="B15" s="39"/>
      <c r="C15" s="39"/>
      <c r="D15" s="36"/>
      <c r="E15" s="36"/>
      <c r="F15" s="39"/>
      <c r="G15" s="39"/>
      <c r="H15" s="39"/>
      <c r="I15" s="39"/>
      <c r="J15" s="36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5.75" customHeight="1" x14ac:dyDescent="0.3">
      <c r="A16" s="32" t="s">
        <v>60</v>
      </c>
      <c r="B16" s="37"/>
      <c r="C16" s="36"/>
      <c r="D16" s="34"/>
      <c r="E16" s="34"/>
      <c r="F16" s="34"/>
      <c r="G16" s="34"/>
      <c r="H16" s="34"/>
      <c r="I16" s="34"/>
      <c r="J16" s="34"/>
      <c r="K16" s="34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5.75" customHeight="1" x14ac:dyDescent="0.3">
      <c r="A17" s="32" t="s">
        <v>133</v>
      </c>
      <c r="B17" s="37"/>
      <c r="C17" s="36"/>
      <c r="D17" s="39"/>
      <c r="E17" s="8" t="str">
        <f>Лист1!B6</f>
        <v>№35.1</v>
      </c>
      <c r="F17" s="8"/>
      <c r="G17" s="8"/>
      <c r="H17" s="32" t="s">
        <v>134</v>
      </c>
      <c r="J17" s="37"/>
      <c r="K17" s="3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5.75" customHeight="1" x14ac:dyDescent="0.3">
      <c r="A18" s="32" t="s">
        <v>63</v>
      </c>
      <c r="B18" s="37"/>
      <c r="C18" s="7" t="str">
        <f>Лист1!B5</f>
        <v>По адресу: г.Москва, ул. Пресненский Вал, д.16 стр.1</v>
      </c>
      <c r="D18" s="7"/>
      <c r="E18" s="7"/>
      <c r="F18" s="7"/>
      <c r="G18" s="7"/>
      <c r="H18" s="7"/>
      <c r="I18" s="32"/>
      <c r="J18" s="37"/>
      <c r="K18" s="3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5.75" customHeight="1" x14ac:dyDescent="0.3">
      <c r="A19" s="44"/>
      <c r="B19" s="44"/>
      <c r="C19" s="36"/>
      <c r="D19" s="46"/>
      <c r="E19" s="46"/>
      <c r="F19" s="47"/>
      <c r="G19" s="46"/>
      <c r="H19" s="46"/>
      <c r="I19" s="47"/>
      <c r="J19" s="37"/>
      <c r="K19" s="37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5.75" customHeight="1" x14ac:dyDescent="0.3">
      <c r="A20" s="72" t="s">
        <v>135</v>
      </c>
      <c r="B20" s="72"/>
      <c r="C20" s="72"/>
      <c r="D20" s="39"/>
      <c r="E20" s="104">
        <f>Лист1!H31</f>
        <v>20.91076923076923</v>
      </c>
      <c r="F20" s="104"/>
      <c r="G20" s="36"/>
      <c r="H20" s="36"/>
      <c r="I20" s="39"/>
      <c r="J20" s="39"/>
      <c r="K20" s="37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5.75" customHeight="1" x14ac:dyDescent="0.3">
      <c r="A21" s="32"/>
      <c r="B21" s="32"/>
      <c r="C21" s="36"/>
      <c r="D21" s="47"/>
      <c r="E21" s="47"/>
      <c r="F21" s="47"/>
      <c r="G21" s="46"/>
      <c r="H21" s="39"/>
      <c r="I21" s="39"/>
      <c r="J21" s="39"/>
      <c r="K21" s="37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5.75" customHeight="1" x14ac:dyDescent="0.3">
      <c r="A22" s="32" t="s">
        <v>136</v>
      </c>
      <c r="B22" s="32"/>
      <c r="C22" s="36"/>
      <c r="D22" s="8" t="str">
        <f>Лист1!B16</f>
        <v>ООО "СПЕЦИНЖСТРОЙ"</v>
      </c>
      <c r="E22" s="8"/>
      <c r="F22" s="8"/>
      <c r="G22" s="46" t="s">
        <v>65</v>
      </c>
      <c r="H22" s="42" t="str">
        <f>Лист1!B7</f>
        <v>1146-КС-21-ЭС2</v>
      </c>
      <c r="I22" s="39"/>
      <c r="J22" s="39"/>
      <c r="K22" s="3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5.75" customHeight="1" x14ac:dyDescent="0.3">
      <c r="A23" s="32"/>
      <c r="B23" s="32"/>
      <c r="C23" s="36"/>
      <c r="D23" s="47"/>
      <c r="E23" s="47"/>
      <c r="F23" s="47"/>
      <c r="G23" s="46"/>
      <c r="H23" s="47"/>
      <c r="I23" s="47"/>
      <c r="J23" s="47"/>
      <c r="K23" s="3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25.5" customHeight="1" x14ac:dyDescent="0.3">
      <c r="A24" s="32" t="s">
        <v>137</v>
      </c>
      <c r="B24" s="32"/>
      <c r="C24" s="36"/>
      <c r="D24" s="47"/>
      <c r="E24" s="88" t="str">
        <f>Лист1!B26</f>
        <v>Труба ЭЛЕКТРОПАЙП 225/170 - N 1250 F2 SDR 13,6</v>
      </c>
      <c r="F24" s="88"/>
      <c r="G24" s="88"/>
      <c r="H24" s="88"/>
      <c r="I24" s="88"/>
      <c r="J24" s="88"/>
      <c r="K24" s="37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5.75" customHeight="1" x14ac:dyDescent="0.3">
      <c r="A25" s="44"/>
      <c r="B25" s="44"/>
      <c r="C25" s="36"/>
      <c r="D25" s="46"/>
      <c r="E25" s="27"/>
      <c r="F25" s="27"/>
      <c r="G25" s="46"/>
      <c r="H25" s="36"/>
      <c r="I25" s="36"/>
      <c r="J25" s="37"/>
      <c r="K25" s="37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5.75" customHeight="1" x14ac:dyDescent="0.3">
      <c r="A26" s="32" t="s">
        <v>107</v>
      </c>
      <c r="B26" s="44"/>
      <c r="C26" s="36"/>
      <c r="D26" s="8" t="str">
        <f>Лист1!B8</f>
        <v>04.12.2025</v>
      </c>
      <c r="E26" s="8"/>
      <c r="F26" s="8"/>
      <c r="G26" s="46"/>
      <c r="H26" s="27"/>
      <c r="I26" s="27"/>
      <c r="J26" s="37"/>
      <c r="K26" s="37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5.75" customHeight="1" x14ac:dyDescent="0.3">
      <c r="A27" s="44"/>
      <c r="B27" s="44"/>
      <c r="C27" s="36"/>
      <c r="D27" s="27"/>
      <c r="E27" s="37"/>
      <c r="F27" s="37"/>
      <c r="G27" s="37"/>
      <c r="H27" s="37"/>
      <c r="I27" s="37"/>
      <c r="J27" s="37"/>
      <c r="K27" s="37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5.75" customHeight="1" x14ac:dyDescent="0.3">
      <c r="A28" s="32" t="s">
        <v>108</v>
      </c>
      <c r="B28" s="44"/>
      <c r="C28" s="36"/>
      <c r="D28" s="8" t="str">
        <f>Лист1!B9</f>
        <v>12.12.2025</v>
      </c>
      <c r="E28" s="8"/>
      <c r="F28" s="8"/>
      <c r="G28" s="37"/>
      <c r="H28" s="37"/>
      <c r="I28" s="37"/>
      <c r="J28" s="37"/>
      <c r="K28" s="37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5.75" customHeight="1" x14ac:dyDescent="0.3">
      <c r="A29" s="44"/>
      <c r="B29" s="44"/>
      <c r="C29" s="36"/>
      <c r="D29" s="37"/>
      <c r="E29" s="37"/>
      <c r="F29" s="37"/>
      <c r="G29" s="37"/>
      <c r="H29" s="37"/>
      <c r="I29" s="37"/>
      <c r="J29" s="37"/>
      <c r="K29" s="37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5.75" customHeight="1" x14ac:dyDescent="0.3">
      <c r="A30" s="10" t="s">
        <v>69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5.75" customHeight="1" x14ac:dyDescent="0.3">
      <c r="A31" s="32" t="s">
        <v>70</v>
      </c>
      <c r="B31" s="44"/>
      <c r="C31" s="36"/>
      <c r="D31" s="37"/>
      <c r="E31" s="37"/>
      <c r="F31" s="37"/>
      <c r="G31" s="37"/>
      <c r="H31" s="37"/>
      <c r="I31" s="37"/>
      <c r="J31" s="37"/>
      <c r="K31" s="37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5.75" customHeight="1" x14ac:dyDescent="0.3">
      <c r="A32" s="32" t="s">
        <v>138</v>
      </c>
      <c r="B32" s="44"/>
      <c r="C32" s="36"/>
      <c r="D32" s="37"/>
      <c r="E32" s="39"/>
      <c r="F32" s="39"/>
      <c r="G32" s="39"/>
      <c r="H32" s="44"/>
      <c r="I32" s="37"/>
      <c r="J32" s="37"/>
      <c r="K32" s="37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5.75" customHeight="1" x14ac:dyDescent="0.3">
      <c r="A33" s="44"/>
      <c r="B33" s="44"/>
      <c r="C33" s="36"/>
      <c r="D33" s="37"/>
      <c r="E33" s="47"/>
      <c r="F33" s="47"/>
      <c r="G33" s="47"/>
      <c r="H33" s="44"/>
      <c r="I33" s="37"/>
      <c r="J33" s="37"/>
      <c r="K33" s="37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5.75" customHeight="1" x14ac:dyDescent="0.3">
      <c r="A34" s="44"/>
      <c r="B34" s="44"/>
      <c r="C34" s="36"/>
      <c r="D34" s="37"/>
      <c r="E34" s="37"/>
      <c r="F34" s="37"/>
      <c r="G34" s="37"/>
      <c r="H34" s="37"/>
      <c r="I34" s="37"/>
      <c r="J34" s="37"/>
      <c r="K34" s="37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 x14ac:dyDescent="0.3"/>
    <row r="36" spans="1:26" ht="15.75" customHeight="1" x14ac:dyDescent="0.3"/>
    <row r="37" spans="1:26" ht="15.75" customHeight="1" x14ac:dyDescent="0.3">
      <c r="A37" s="32" t="str">
        <f>Лист1!C20</f>
        <v>Мастер по эксплуатации РС ЦРЭС АО «ОЭК» ___________________Медведев А.С.</v>
      </c>
      <c r="C37" s="32"/>
      <c r="D37" s="32"/>
      <c r="E37" s="32"/>
      <c r="F37" s="32"/>
      <c r="G37" s="32"/>
      <c r="H37" s="32"/>
      <c r="I37" s="32"/>
    </row>
    <row r="38" spans="1:26" ht="15.75" customHeight="1" x14ac:dyDescent="0.3">
      <c r="A38" s="32"/>
      <c r="C38" s="32"/>
      <c r="D38" s="32"/>
      <c r="E38" s="32"/>
      <c r="F38" s="32"/>
      <c r="G38" s="32"/>
      <c r="H38" s="32"/>
      <c r="I38" s="32"/>
    </row>
    <row r="39" spans="1:26" ht="15.75" customHeight="1" x14ac:dyDescent="0.3">
      <c r="A39" s="32" t="str">
        <f>Лист1!C21</f>
        <v>Начальник участка ООО «СПЕЦИНЖСТРОЙ» ___________________Щеглов Р.А.</v>
      </c>
      <c r="C39" s="32"/>
      <c r="D39" s="32"/>
      <c r="E39" s="32"/>
      <c r="F39" s="32"/>
      <c r="G39" s="32"/>
      <c r="H39" s="32"/>
      <c r="I39" s="32"/>
    </row>
    <row r="40" spans="1:26" ht="15.75" customHeight="1" x14ac:dyDescent="0.3">
      <c r="A40" s="32"/>
      <c r="C40" s="32"/>
      <c r="D40" s="32"/>
      <c r="E40" s="32"/>
      <c r="F40" s="32"/>
      <c r="G40" s="32"/>
      <c r="H40" s="32"/>
      <c r="I40" s="32"/>
    </row>
    <row r="41" spans="1:26" ht="15.75" customHeight="1" x14ac:dyDescent="0.3">
      <c r="A41" s="32"/>
      <c r="C41" s="32"/>
      <c r="D41" s="32"/>
      <c r="E41" s="32"/>
      <c r="F41" s="32"/>
      <c r="G41" s="32"/>
      <c r="H41" s="32"/>
      <c r="I41" s="32"/>
    </row>
    <row r="42" spans="1:26" ht="15.75" customHeight="1" x14ac:dyDescent="0.3"/>
    <row r="43" spans="1:26" ht="15.75" customHeight="1" x14ac:dyDescent="0.3"/>
    <row r="44" spans="1:26" ht="15.75" customHeight="1" x14ac:dyDescent="0.3"/>
    <row r="45" spans="1:26" ht="15.75" customHeight="1" x14ac:dyDescent="0.3"/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</sheetData>
  <mergeCells count="15">
    <mergeCell ref="D22:F22"/>
    <mergeCell ref="E24:J24"/>
    <mergeCell ref="D26:F26"/>
    <mergeCell ref="D28:F28"/>
    <mergeCell ref="A30:K30"/>
    <mergeCell ref="A7:K7"/>
    <mergeCell ref="E14:G14"/>
    <mergeCell ref="E17:G17"/>
    <mergeCell ref="C18:H18"/>
    <mergeCell ref="E20:F20"/>
    <mergeCell ref="C3:K3"/>
    <mergeCell ref="G4:J4"/>
    <mergeCell ref="A5:B5"/>
    <mergeCell ref="G5:K5"/>
    <mergeCell ref="A6:K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W72"/>
  <sheetViews>
    <sheetView zoomScaleNormal="100" workbookViewId="0"/>
  </sheetViews>
  <sheetFormatPr defaultColWidth="8.6640625" defaultRowHeight="15" customHeight="1" x14ac:dyDescent="0.3"/>
  <cols>
    <col min="2" max="2" width="9.6640625" customWidth="1"/>
    <col min="3" max="3" width="9.109375" customWidth="1"/>
    <col min="4" max="4" width="1.5546875" customWidth="1"/>
    <col min="5" max="5" width="9.109375" customWidth="1"/>
    <col min="6" max="6" width="7.6640625" customWidth="1"/>
    <col min="7" max="7" width="13.109375" customWidth="1"/>
    <col min="8" max="8" width="7.21875" customWidth="1"/>
    <col min="9" max="9" width="24" customWidth="1"/>
    <col min="10" max="10" width="10.109375" customWidth="1"/>
    <col min="11" max="11" width="31.109375" customWidth="1"/>
    <col min="12" max="12" width="9.109375" customWidth="1"/>
  </cols>
  <sheetData>
    <row r="1" spans="1:257" ht="13.5" customHeight="1" x14ac:dyDescent="0.3">
      <c r="A1" s="36"/>
      <c r="B1" s="26" t="s">
        <v>38</v>
      </c>
      <c r="C1" s="27" t="str">
        <f>Лист1!B14</f>
        <v>АО "ОЭК"</v>
      </c>
      <c r="D1" s="27"/>
      <c r="E1" s="27"/>
      <c r="F1" s="30"/>
      <c r="G1" s="28"/>
      <c r="H1" s="27"/>
      <c r="I1" s="2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</row>
    <row r="2" spans="1:257" ht="13.5" customHeight="1" x14ac:dyDescent="0.3">
      <c r="A2" s="36"/>
      <c r="B2" s="26" t="s">
        <v>56</v>
      </c>
      <c r="C2" s="27" t="str">
        <f>Лист1!B15</f>
        <v>ООО «СПЕЦИНЖСТРОЙ»</v>
      </c>
      <c r="D2" s="27"/>
      <c r="E2" s="27"/>
      <c r="F2" s="30"/>
      <c r="G2" s="28"/>
      <c r="H2" s="27"/>
      <c r="I2" s="27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</row>
    <row r="3" spans="1:257" ht="59.25" customHeight="1" x14ac:dyDescent="0.3">
      <c r="A3" s="36"/>
      <c r="B3" s="29" t="s">
        <v>40</v>
      </c>
      <c r="C3" s="14" t="str">
        <f>Лист1!B4</f>
        <v>1КЛ: 20кВ ПС «Красносельская» до РП 1-45</v>
      </c>
      <c r="D3" s="14"/>
      <c r="E3" s="14"/>
      <c r="F3" s="14"/>
      <c r="G3" s="14"/>
      <c r="H3" s="14"/>
      <c r="I3" s="14"/>
      <c r="J3" s="73"/>
      <c r="K3" s="73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</row>
    <row r="4" spans="1:257" ht="13.5" customHeight="1" x14ac:dyDescent="0.3">
      <c r="A4" s="36"/>
      <c r="B4" s="29" t="s">
        <v>41</v>
      </c>
      <c r="C4" s="105" t="str">
        <f>Лист1!B11</f>
        <v>03.06.2024 г.</v>
      </c>
      <c r="D4" s="105"/>
      <c r="E4" s="105"/>
      <c r="F4" s="29"/>
      <c r="G4" s="106"/>
      <c r="H4" s="106"/>
      <c r="I4" s="106"/>
      <c r="J4" s="31"/>
      <c r="K4" s="31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</row>
    <row r="5" spans="1:257" ht="15.75" customHeight="1" x14ac:dyDescent="0.3"/>
    <row r="6" spans="1:257" ht="15.75" customHeight="1" x14ac:dyDescent="0.3">
      <c r="A6" s="10" t="s">
        <v>139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257" ht="15.75" customHeight="1" x14ac:dyDescent="0.3">
      <c r="A7" s="10" t="s">
        <v>140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257" ht="15.75" customHeight="1" x14ac:dyDescent="0.3">
      <c r="A8" s="36" t="s">
        <v>141</v>
      </c>
      <c r="B8" s="36"/>
      <c r="C8" s="39" t="str">
        <f>Лист1!B6</f>
        <v>№35.1</v>
      </c>
      <c r="D8" s="36"/>
      <c r="E8" s="36"/>
      <c r="G8" s="36"/>
      <c r="H8" s="36"/>
      <c r="I8" s="36"/>
      <c r="J8" s="36"/>
      <c r="K8" s="36"/>
      <c r="P8" s="36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57" ht="15.75" customHeight="1" x14ac:dyDescent="0.3">
      <c r="A9" s="32" t="s">
        <v>142</v>
      </c>
      <c r="B9" s="74"/>
      <c r="C9" s="39" t="str">
        <f>Лист1!B5</f>
        <v>По адресу: г.Москва, ул. Пресненский Вал, д.16 стр.1</v>
      </c>
      <c r="D9" s="74"/>
      <c r="E9" s="74"/>
      <c r="F9" s="74"/>
      <c r="G9" s="74"/>
      <c r="H9" s="74"/>
      <c r="I9" s="74"/>
      <c r="J9" s="74"/>
      <c r="K9" s="74"/>
    </row>
    <row r="10" spans="1:257" ht="15.7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257" ht="15.75" customHeight="1" x14ac:dyDescent="0.3">
      <c r="A11" s="107" t="str">
        <f>Лист1!A31</f>
        <v>№35.1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</row>
    <row r="12" spans="1:257" ht="15.75" customHeight="1" x14ac:dyDescent="0.3">
      <c r="A12" s="76" t="s">
        <v>143</v>
      </c>
      <c r="B12" s="108" t="s">
        <v>144</v>
      </c>
      <c r="C12" s="108"/>
      <c r="D12" s="108"/>
      <c r="E12" s="108"/>
      <c r="F12" s="108"/>
      <c r="G12" s="108"/>
      <c r="H12" s="108"/>
      <c r="I12" s="108"/>
      <c r="J12" s="75" t="s">
        <v>145</v>
      </c>
      <c r="K12" s="75" t="s">
        <v>146</v>
      </c>
    </row>
    <row r="13" spans="1:257" ht="29.25" customHeight="1" x14ac:dyDescent="0.3">
      <c r="A13" s="77">
        <v>1</v>
      </c>
      <c r="B13" s="78" t="s">
        <v>147</v>
      </c>
      <c r="C13" s="109" t="str">
        <f>Лист1!B26</f>
        <v>Труба ЭЛЕКТРОПАЙП 225/170 - N 1250 F2 SDR 13,6</v>
      </c>
      <c r="D13" s="109"/>
      <c r="E13" s="109"/>
      <c r="F13" s="109"/>
      <c r="G13" s="109"/>
      <c r="H13" s="109"/>
      <c r="I13" s="109"/>
      <c r="J13" s="79" t="s">
        <v>148</v>
      </c>
      <c r="K13" s="80">
        <f>Лист1!E31</f>
        <v>271.83999999999997</v>
      </c>
    </row>
    <row r="14" spans="1:257" ht="15.75" customHeight="1" x14ac:dyDescent="0.3">
      <c r="A14" s="81">
        <v>2</v>
      </c>
      <c r="B14" s="110" t="s">
        <v>149</v>
      </c>
      <c r="C14" s="110"/>
      <c r="D14" s="110"/>
      <c r="E14" s="110"/>
      <c r="F14" s="110"/>
      <c r="G14" s="110"/>
      <c r="H14" s="110"/>
      <c r="I14" s="110"/>
      <c r="J14" s="82" t="s">
        <v>148</v>
      </c>
      <c r="K14" s="80">
        <f>K13</f>
        <v>271.83999999999997</v>
      </c>
    </row>
    <row r="15" spans="1:257" ht="13.5" customHeight="1" x14ac:dyDescent="0.3">
      <c r="A15" s="77">
        <v>3</v>
      </c>
      <c r="B15" s="83" t="s">
        <v>150</v>
      </c>
      <c r="C15" s="109" t="str">
        <f>Лист1!B27</f>
        <v>d=225 мм.</v>
      </c>
      <c r="D15" s="109"/>
      <c r="E15" s="109"/>
      <c r="F15" s="109"/>
      <c r="G15" s="109"/>
      <c r="H15" s="109"/>
      <c r="I15" s="109"/>
      <c r="J15" s="79" t="s">
        <v>151</v>
      </c>
      <c r="K15" s="84">
        <f>Лист1!D31*2</f>
        <v>4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57" ht="15.75" customHeight="1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25" ht="15.75" customHeight="1" x14ac:dyDescent="0.3"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5.75" customHeight="1" x14ac:dyDescent="0.3">
      <c r="A18" s="36"/>
      <c r="B18" s="36"/>
    </row>
    <row r="19" spans="1:25" ht="15.75" customHeight="1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spans="1:25" ht="15.75" customHeight="1" x14ac:dyDescent="0.3">
      <c r="A20" s="36">
        <f>Лист1!C23</f>
        <v>0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25" ht="15.75" customHeight="1" x14ac:dyDescent="0.3">
      <c r="A21" s="36"/>
      <c r="B21" s="36"/>
    </row>
    <row r="22" spans="1:25" ht="15.75" customHeight="1" x14ac:dyDescent="0.3">
      <c r="A22" s="36" t="str">
        <f>Лист1!C21</f>
        <v>Начальник участка ООО «СПЕЦИНЖСТРОЙ» ___________________Щеглов Р.А.</v>
      </c>
      <c r="B22" s="36" t="str">
        <f>CONCATENATE("Строительство ",Лист1!B6," методом ГНБ")</f>
        <v>Строительство №35.1 методом ГНБ</v>
      </c>
      <c r="C22" s="36"/>
      <c r="D22" s="36"/>
      <c r="E22" s="36"/>
      <c r="F22" s="36"/>
      <c r="G22" s="36"/>
      <c r="H22" s="36"/>
      <c r="I22" s="36"/>
      <c r="J22" s="36"/>
      <c r="K22" s="36"/>
    </row>
    <row r="23" spans="1:25" ht="15.75" customHeight="1" x14ac:dyDescent="0.3">
      <c r="A23" s="36"/>
    </row>
    <row r="24" spans="1:25" ht="15.75" customHeight="1" x14ac:dyDescent="0.3">
      <c r="A24" s="36" t="str">
        <f>Лист1!C20</f>
        <v>Мастер по эксплуатации РС ЦРЭС АО «ОЭК» ___________________Медведев А.С.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25" ht="15.75" customHeight="1" x14ac:dyDescent="0.3"/>
    <row r="26" spans="1:25" ht="15.75" customHeight="1" x14ac:dyDescent="0.3">
      <c r="B26" s="36"/>
      <c r="C26" s="36"/>
      <c r="D26" s="36"/>
      <c r="E26" s="36"/>
      <c r="F26" s="36"/>
      <c r="G26" s="36"/>
      <c r="H26" s="36"/>
      <c r="I26" s="36"/>
      <c r="J26" s="36"/>
      <c r="K26" s="36"/>
    </row>
    <row r="27" spans="1:25" ht="15.75" customHeight="1" x14ac:dyDescent="0.3">
      <c r="A27" s="36"/>
      <c r="B27" s="36"/>
      <c r="C27" s="36"/>
      <c r="D27" s="36"/>
    </row>
    <row r="28" spans="1:25" ht="15.75" customHeight="1" x14ac:dyDescent="0.3"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spans="1:25" ht="15.75" customHeight="1" x14ac:dyDescent="0.3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spans="1:25" ht="15.75" customHeight="1" x14ac:dyDescent="0.3"/>
    <row r="31" spans="1:25" ht="15.75" customHeight="1" x14ac:dyDescent="0.3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spans="1:25" ht="15.75" customHeight="1" x14ac:dyDescent="0.3"/>
    <row r="33" spans="1:11" ht="15.75" customHeight="1" x14ac:dyDescent="0.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1:11" ht="15.75" customHeight="1" x14ac:dyDescent="0.3"/>
    <row r="35" spans="1:11" ht="15.75" customHeight="1" x14ac:dyDescent="0.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</sheetData>
  <mergeCells count="12">
    <mergeCell ref="P15:Z15"/>
    <mergeCell ref="P17:Y17"/>
    <mergeCell ref="A11:K11"/>
    <mergeCell ref="B12:I12"/>
    <mergeCell ref="C13:I13"/>
    <mergeCell ref="B14:I14"/>
    <mergeCell ref="C15:I15"/>
    <mergeCell ref="C3:I3"/>
    <mergeCell ref="C4:E4"/>
    <mergeCell ref="G4:I4"/>
    <mergeCell ref="A6:K6"/>
    <mergeCell ref="A7:K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Лист1</vt:lpstr>
      <vt:lpstr>Разбивка</vt:lpstr>
      <vt:lpstr>Герметизация</vt:lpstr>
      <vt:lpstr>АОСР </vt:lpstr>
      <vt:lpstr>Надзор</vt:lpstr>
      <vt:lpstr>Приемка</vt:lpstr>
      <vt:lpstr>ПП</vt:lpstr>
      <vt:lpstr>Акт освид</vt:lpstr>
      <vt:lpstr>Соосность</vt:lpstr>
      <vt:lpstr>Сварка трубы</vt:lpstr>
      <vt:lpstr>Опись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Алексей Кубкуб</cp:lastModifiedBy>
  <cp:revision>0</cp:revision>
  <dcterms:created xsi:type="dcterms:W3CDTF">2026-03-05T14:36:23Z</dcterms:created>
  <dcterms:modified xsi:type="dcterms:W3CDTF">2026-03-18T15:39:50Z</dcterms:modified>
  <dc:language>en-US</dc:language>
</cp:coreProperties>
</file>