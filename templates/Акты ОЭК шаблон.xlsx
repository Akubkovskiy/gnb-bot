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4.xml" ContentType="application/vnd.openxmlformats-officedocument.spreadsheetml.worksheet+xml"/>
  <Override PartName="/xl/worksheets/sheet32.xml" ContentType="application/vnd.openxmlformats-officedocument.spreadsheetml.worksheet+xml"/>
  <Override PartName="/xl/worksheets/sheet27.xml" ContentType="application/vnd.openxmlformats-officedocument.spreadsheetml.worksheet+xml"/>
  <Override PartName="/xl/worksheets/sheet31.xml" ContentType="application/vnd.openxmlformats-officedocument.spreadsheetml.worksheet+xml"/>
  <Override PartName="/xl/worksheets/sheet2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4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776"/>
  </bookViews>
  <sheets>
    <sheet sheetId="1" name="Лист1" state="visible" r:id="rId4"/>
    <sheet sheetId="24" name="Разбивка" state="visible" r:id="rId5"/>
    <sheet sheetId="32" name="Герметизация" state="visible" r:id="rId6"/>
    <sheet sheetId="27" name="АОСР " state="visible" r:id="rId7"/>
    <sheet sheetId="31" name="Надзор" state="visible" r:id="rId8"/>
    <sheet sheetId="28" name="Приемка" state="visible" r:id="rId9"/>
    <sheet sheetId="33" name="ПП" state="visible" r:id="rId10"/>
    <sheet sheetId="30" name="Соосность" state="visible" r:id="rId11"/>
    <sheet sheetId="34" name="Сварка трубы" state="visible" r:id="rId12"/>
    <sheet sheetId="8" name="Опись" state="visible" r:id="rId13"/>
  </sheets>
  <definedNames>
    <definedName name="_xlnm.Print_Area" localSheetId="1">'Разбивка'!$A1:$L34</definedName>
    <definedName name="_xlnm.Print_Area" localSheetId="2">'Герметизация'!$A1:$L41</definedName>
    <definedName name="_xlnm.Print_Area" localSheetId="3">'АОСР '!$A1:$L38</definedName>
    <definedName name="_xlnm.Print_Area" localSheetId="4">'Надзор'!$A1:$L43</definedName>
    <definedName name="_xlnm.Print_Area" localSheetId="5">'Приемка'!$A1:$L39</definedName>
    <definedName name="_xlnm.Print_Area" localSheetId="6">'ПП'!$A1:$L42</definedName>
    <definedName name="_xlnm.Print_Area" localSheetId="7">'Соосность'!$A1:$L41</definedName>
    <definedName name="_xlnm.Print_Area" localSheetId="8">'Сварка трубы'!$A1:$L43</definedName>
    <definedName name="_xlnm.Print_Area" localSheetId="9">'Опись'!$A1:$K36</definedName>
  </definedNames>
  <calcPr calcId="171027"/>
</workbook>
</file>

<file path=xl/sharedStrings.xml><?xml version="1.0" encoding="utf-8"?>
<sst xmlns="http://schemas.openxmlformats.org/spreadsheetml/2006/main" count="239" uniqueCount="138">
  <si>
    <t>ГНБ 10-1С г. Москва, ул. Кантемировская, д.60</t>
  </si>
  <si>
    <t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t>
  </si>
  <si>
    <t>ОБЪЕКТ</t>
  </si>
  <si>
    <t>По адресу: г. Москва, ул. Кантемировская, д.60</t>
  </si>
  <si>
    <t>Адрес</t>
  </si>
  <si>
    <t xml:space="preserve">Представитель ЮРЭС АО "ОЭК" </t>
  </si>
  <si>
    <t>Эксплуатация</t>
  </si>
  <si>
    <t>Начальник участка ООО «Резонанс-Энерго» Борков Е.А</t>
  </si>
  <si>
    <t>Ген.подрядчик</t>
  </si>
  <si>
    <t xml:space="preserve"> </t>
  </si>
  <si>
    <t>Субподрядчик</t>
  </si>
  <si>
    <t xml:space="preserve"> 
</t>
  </si>
  <si>
    <t>ГНБ № 10-1С</t>
  </si>
  <si>
    <t>№ закрытого перехода без адреса</t>
  </si>
  <si>
    <t>ИМ-19-4-Р-3.2Э-ЗП2</t>
  </si>
  <si>
    <t>№ проекта</t>
  </si>
  <si>
    <t>АО "МОСИНЖПРОЕКТ"</t>
  </si>
  <si>
    <t>Проектировщик</t>
  </si>
  <si>
    <t>01.06.2024 г.</t>
  </si>
  <si>
    <t>Начало работ</t>
  </si>
  <si>
    <t>03.06.2024 г.</t>
  </si>
  <si>
    <t>Окончание работ</t>
  </si>
  <si>
    <t>ООО «Резонанс-Энерго»</t>
  </si>
  <si>
    <t>Дата завершения работ</t>
  </si>
  <si>
    <t>Представитель Южного РЭС АО "ОЭК" и АО "ОЭК"</t>
  </si>
  <si>
    <t>Для акта тех. Надзора</t>
  </si>
  <si>
    <t>Представители с местом для подписи</t>
  </si>
  <si>
    <t>Представитель Южного РЭС АО "ОЭК" ____________________</t>
  </si>
  <si>
    <t>Начальник участка ООО «Резонанс-Энерго» ______________________Борков Е.А</t>
  </si>
  <si>
    <t>Борков Е.А</t>
  </si>
  <si>
    <t>Инженер-геодезист ООО «Резонанс-Энерго» ______________________Минаков Н.А.</t>
  </si>
  <si>
    <t>ГКУ «УДМС»</t>
  </si>
  <si>
    <t>Заказчик</t>
  </si>
  <si>
    <t>Генподрядчик</t>
  </si>
  <si>
    <t>Труба "ПЭ тип "С" 110*6,3 техническая (L012) (паспорт  качества от 23.08.2021г.)</t>
  </si>
  <si>
    <t xml:space="preserve"> d=110 мм.</t>
  </si>
  <si>
    <t>Заглушки</t>
  </si>
  <si>
    <t>план</t>
  </si>
  <si>
    <t>профиль</t>
  </si>
  <si>
    <t>трубы</t>
  </si>
  <si>
    <t>L трубы</t>
  </si>
  <si>
    <t>d скв</t>
  </si>
  <si>
    <t>конфиг</t>
  </si>
  <si>
    <t>стыки</t>
  </si>
  <si>
    <t>Для заполнения АОСР</t>
  </si>
  <si>
    <t>2тр. D=110мм.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</si>
  <si>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</si>
  <si>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</si>
  <si>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</si>
  <si>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</si>
  <si>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</si>
  <si>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</si>
  <si>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</si>
  <si>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</si>
  <si>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</si>
  <si>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</si>
  <si>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</si>
  <si>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</si>
  <si>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</si>
  <si>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</si>
  <si>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</si>
  <si>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</si>
  <si>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</si>
  <si>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</si>
  <si>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</si>
  <si>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</si>
  <si>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</si>
  <si>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</si>
  <si>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</si>
  <si>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</si>
  <si>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</si>
  <si>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</si>
  <si>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</si>
  <si>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</si>
  <si>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</si>
  <si>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</si>
  <si>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</si>
  <si>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</si>
  <si>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</si>
  <si>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</si>
  <si>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</si>
  <si>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</si>
  <si>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</si>
  <si>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</si>
  <si>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</si>
  <si>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</si>
  <si>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</si>
  <si>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</si>
  <si>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</si>
  <si>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</si>
  <si>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</si>
  <si>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</si>
  <si>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</si>
  <si>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</si>
  <si>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</si>
  <si>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</si>
  <si>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</si>
  <si>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</si>
  <si>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</si>
  <si>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</si>
  <si>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</si>
  <si>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</si>
  <si>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</si>
  <si>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</si>
  <si>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r>
      <t xml:space="preserve">Качество работ </t>
    </r>
    <r>
      <rPr>
        <i/>
        <u/>
        <charset val="204"/>
        <family val="1"/>
        <sz val="10"/>
        <rFont val="Times New Roman"/>
      </rPr>
      <t>удовлетворительно.</t>
    </r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</si>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</sst>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sz val="10"/>
      <name val="Arial"/>
    </font>
    <font>
      <b/>
      <charset val="204"/>
      <family val="1"/>
      <sz val="11"/>
      <name val="Times New Roman"/>
    </font>
    <font>
      <charset val="204"/>
      <family val="1"/>
      <sz val="11"/>
      <name val="Times New Roman"/>
    </font>
    <font>
      <charset val="204"/>
      <family val="2"/>
      <sz val="10"/>
      <name val="Arial"/>
    </font>
    <font>
      <color rgb="FF000000"/>
      <sz val="11"/>
      <name val="Docs-Calibri"/>
    </font>
    <font>
      <charset val="204"/>
      <color indexed="10"/>
      <family val="2"/>
      <sz val="10"/>
      <name val="Arial"/>
    </font>
    <font>
      <charset val="204"/>
      <family val="1"/>
      <sz val="10"/>
      <name val="Times New Roman"/>
    </font>
    <font>
      <u/>
      <charset val="204"/>
      <family val="2"/>
      <sz val="10"/>
      <name val="Arial"/>
    </font>
    <font>
      <u/>
      <charset val="204"/>
      <family val="1"/>
      <sz val="11"/>
      <name val="Times New Roman"/>
    </font>
    <font>
      <i/>
      <charset val="204"/>
      <family val="2"/>
      <sz val="10"/>
      <name val="Arial"/>
    </font>
    <font>
      <i/>
      <charset val="204"/>
      <family val="1"/>
      <sz val="11"/>
      <name val="Times New Roman"/>
    </font>
    <font>
      <b/>
      <charset val="204"/>
      <family val="1"/>
      <sz val="10"/>
      <name val="Times New Roman"/>
    </font>
    <font>
      <i/>
      <charset val="204"/>
      <family val="1"/>
      <sz val="10"/>
      <name val="Times New Roman"/>
    </font>
    <font>
      <i/>
      <u/>
      <charset val="204"/>
      <family val="1"/>
      <sz val="10"/>
      <name val="Times New Roman"/>
    </font>
    <font>
      <u/>
      <charset val="204"/>
      <family val="1"/>
      <sz val="10"/>
      <name val="Times New Roman"/>
    </font>
    <font>
      <b/>
      <i/>
      <charset val="204"/>
      <family val="1"/>
      <sz val="10"/>
      <name val="Times New Roman"/>
    </font>
    <font>
      <i/>
      <u/>
      <charset val="204"/>
      <family val="1"/>
      <sz val="11"/>
      <name val="Times New Roman"/>
    </font>
    <font>
      <charset val="204"/>
      <color theme="1"/>
      <family val="1"/>
      <sz val="10"/>
      <name val="Times New Roman"/>
    </font>
    <font>
      <charset val="204"/>
      <family val="1"/>
      <vertAlign val="superscript"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1" fontId="1" fillId="0" borderId="0" xfId="0" applyNumberFormat="1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2" borderId="0" xfId="0" applyFont="1" applyFill="1"/>
    <xf numFmtId="0" fontId="3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2" borderId="0" xfId="0" applyFont="1" applyFill="1"/>
    <xf numFmtId="0" fontId="1" fillId="2" borderId="0" xfId="0" applyFont="1" applyFill="1"/>
    <xf numFmtId="0" fontId="3" fillId="0" borderId="8" xfId="0" applyFont="1" applyBorder="1"/>
    <xf numFmtId="0" fontId="3" fillId="0" borderId="0" xfId="0" applyFont="1" applyAlignment="1">
      <alignment wrapText="1"/>
    </xf>
    <xf numFmtId="0" fontId="4" fillId="0" borderId="9" xfId="0" applyFont="1" applyBorder="1"/>
    <xf numFmtId="0" fontId="8" fillId="0" borderId="0" xfId="0" applyFont="1"/>
    <xf numFmtId="0" fontId="3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0" xfId="0" applyFont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9" fillId="0" borderId="3" xfId="0" applyFont="1" applyBorder="1"/>
    <xf numFmtId="0" fontId="9" fillId="0" borderId="4" xfId="0" applyFont="1" applyBorder="1"/>
    <xf numFmtId="0" fontId="9" fillId="2" borderId="0" xfId="0" applyFont="1" applyFill="1"/>
    <xf numFmtId="0" fontId="9" fillId="0" borderId="0" xfId="0" applyFont="1"/>
    <xf numFmtId="0" fontId="3" fillId="0" borderId="2" xfId="0" applyFont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0" applyFont="1" applyBorder="1"/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7" fillId="0" borderId="0" xfId="0" applyFont="1"/>
    <xf numFmtId="0" fontId="10" fillId="0" borderId="0" xfId="0" applyFont="1"/>
    <xf numFmtId="0" fontId="1" fillId="0" borderId="6" xfId="0" applyFont="1" applyBorder="1"/>
    <xf numFmtId="0" fontId="1" fillId="0" borderId="7" xfId="0" applyFont="1" applyBorder="1"/>
    <xf numFmtId="0" fontId="10" fillId="2" borderId="0" xfId="0" applyFont="1" applyFill="1" applyAlignment="1">
      <alignment horizontal="left"/>
    </xf>
    <xf numFmtId="0" fontId="10" fillId="2" borderId="0" xfId="0" applyFont="1" applyFill="1"/>
    <xf numFmtId="0" fontId="1" fillId="0" borderId="9" xfId="0" applyFont="1" applyBorder="1"/>
    <xf numFmtId="0" fontId="1" fillId="0" borderId="11" xfId="0" applyFont="1" applyBorder="1"/>
    <xf numFmtId="0" fontId="1" fillId="0" borderId="12" xfId="0" applyFont="1" applyBorder="1"/>
    <xf numFmtId="0" fontId="11" fillId="0" borderId="11" xfId="0" applyFont="1" applyBorder="1" applyAlignment="1">
      <alignment horizontal="left" wrapText="1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7" fillId="0" borderId="1" xfId="0" applyFont="1" applyBorder="1"/>
    <xf numFmtId="0" fontId="4" fillId="3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/>
    </xf>
    <xf numFmtId="14" fontId="7" fillId="0" borderId="0" xfId="0" applyNumberFormat="1" applyFont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center"/>
    </xf>
    <xf numFmtId="0" fontId="15" fillId="0" borderId="0" xfId="0" applyFont="1"/>
    <xf numFmtId="0" fontId="7" fillId="0" borderId="0" xfId="0" applyFont="1" applyAlignment="1">
      <alignment horizontal="center"/>
    </xf>
    <xf numFmtId="0" fontId="7" fillId="0" borderId="9" xfId="0" applyFont="1" applyBorder="1"/>
    <xf numFmtId="0" fontId="16" fillId="0" borderId="0" xfId="0" applyFont="1"/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left"/>
    </xf>
    <xf numFmtId="0" fontId="16" fillId="0" borderId="11" xfId="0" applyFont="1" applyBorder="1"/>
    <xf numFmtId="0" fontId="7" fillId="0" borderId="11" xfId="0" applyFont="1" applyBorder="1"/>
    <xf numFmtId="0" fontId="12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12" fillId="0" borderId="0" xfId="0" applyFont="1" applyAlignment="1" applyProtection="1">
      <alignment horizontal="left"/>
      <protection locked="0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 applyAlignment="1" applyProtection="1">
      <alignment horizontal="left"/>
      <protection locked="0"/>
    </xf>
    <xf numFmtId="0" fontId="16" fillId="0" borderId="11" xfId="0" applyFont="1" applyBorder="1" applyAlignment="1">
      <alignment horizontal="right"/>
    </xf>
    <xf numFmtId="0" fontId="16" fillId="0" borderId="11" xfId="0" applyFont="1" applyBorder="1" applyAlignment="1">
      <alignment horizontal="right" indent="1"/>
    </xf>
    <xf numFmtId="0" fontId="13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left" wrapText="1"/>
    </xf>
    <xf numFmtId="0" fontId="2" fillId="0" borderId="0" xfId="0" applyFont="1" applyAlignment="1">
      <alignment horizontal="right"/>
    </xf>
    <xf numFmtId="0" fontId="17" fillId="0" borderId="0" xfId="0" applyFont="1"/>
    <xf numFmtId="0" fontId="2" fillId="0" borderId="0" xfId="0" applyFont="1" applyAlignment="1">
      <alignment horizontal="right" vertical="top"/>
    </xf>
    <xf numFmtId="14" fontId="3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right"/>
    </xf>
    <xf numFmtId="0" fontId="2" fillId="0" borderId="0" xfId="0" applyFont="1"/>
    <xf numFmtId="0" fontId="16" fillId="0" borderId="3" xfId="0" applyFont="1" applyBorder="1"/>
    <xf numFmtId="0" fontId="16" fillId="0" borderId="11" xfId="0" applyFont="1" applyBorder="1" applyAlignment="1">
      <alignment horizontal="left" wrapText="1"/>
    </xf>
    <xf numFmtId="0" fontId="7" fillId="0" borderId="0" xfId="0" applyFont="1" applyAlignment="1">
      <alignment vertical="center"/>
    </xf>
    <xf numFmtId="0" fontId="12" fillId="0" borderId="11" xfId="0" applyFont="1" applyBorder="1" applyAlignment="1">
      <alignment horizontal="left"/>
    </xf>
    <xf numFmtId="0" fontId="16" fillId="0" borderId="0" xfId="0" applyFont="1" applyAlignment="1" applyProtection="1">
      <alignment horizontal="left"/>
      <protection locked="0"/>
    </xf>
    <xf numFmtId="0" fontId="15" fillId="0" borderId="1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13" fillId="0" borderId="0" xfId="0" applyFont="1" applyAlignment="1">
      <alignment horizontal="left" vertical="top" wrapText="1"/>
    </xf>
    <xf numFmtId="0" fontId="16" fillId="0" borderId="11" xfId="0" applyFont="1" applyBorder="1" applyAlignment="1">
      <alignment horizontal="center" wrapText="1"/>
    </xf>
    <xf numFmtId="49" fontId="7" fillId="0" borderId="0" xfId="0" applyNumberFormat="1" applyFont="1" applyProtection="1">
      <protection locked="0"/>
    </xf>
    <xf numFmtId="1" fontId="16" fillId="0" borderId="11" xfId="0" applyNumberFormat="1" applyFont="1" applyBorder="1" applyAlignment="1">
      <alignment horizontal="center"/>
    </xf>
    <xf numFmtId="0" fontId="15" fillId="0" borderId="0" xfId="0" applyFont="1" applyAlignment="1">
      <alignment vertical="top" wrapText="1"/>
    </xf>
    <xf numFmtId="1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wrapText="1"/>
    </xf>
    <xf numFmtId="1" fontId="7" fillId="0" borderId="1" xfId="0" applyNumberFormat="1" applyFont="1" applyBorder="1" applyAlignment="1">
      <alignment horizontal="center" vertical="center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4.xml"/><Relationship Id="rId6" Type="http://schemas.openxmlformats.org/officeDocument/2006/relationships/worksheet" Target="worksheets/sheet32.xml"/><Relationship Id="rId7" Type="http://schemas.openxmlformats.org/officeDocument/2006/relationships/worksheet" Target="worksheets/sheet27.xml"/><Relationship Id="rId8" Type="http://schemas.openxmlformats.org/officeDocument/2006/relationships/worksheet" Target="worksheets/sheet31.xml"/><Relationship Id="rId9" Type="http://schemas.openxmlformats.org/officeDocument/2006/relationships/worksheet" Target="worksheets/sheet28.xml"/><Relationship Id="rId10" Type="http://schemas.openxmlformats.org/officeDocument/2006/relationships/worksheet" Target="worksheets/sheet33.xml"/><Relationship Id="rId11" Type="http://schemas.openxmlformats.org/officeDocument/2006/relationships/worksheet" Target="worksheets/sheet30.xml"/><Relationship Id="rId12" Type="http://schemas.openxmlformats.org/officeDocument/2006/relationships/worksheet" Target="worksheets/sheet34.xml"/><Relationship Id="rId13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 zoomScale="100" zoomScaleNormal="100">
      <selection activeCell="I23" sqref="I23"/>
    </sheetView>
  </sheetViews>
  <sheetFormatPr defaultRowHeight="13.2" outlineLevelRow="0" outlineLevelCol="0" x14ac:dyDescent="0" customHeight="1"/>
  <cols>
    <col min="1" max="1" width="19.33203125" customWidth="1"/>
    <col min="2" max="2" width="10.109375" customWidth="1"/>
    <col min="7" max="7" width="14.44140625" customWidth="1"/>
    <col min="9" max="9" width="11.5546875" customWidth="1"/>
    <col min="10" max="10" width="23.109375" customWidth="1"/>
  </cols>
  <sheetData>
    <row r="1" ht="13.8" customHeight="1" spans="1:17" x14ac:dyDescent="0.25">
      <c r="A1" s="1"/>
      <c r="B1" s="1"/>
      <c r="C1" s="1"/>
      <c r="D1" s="1"/>
      <c r="E1" s="2"/>
      <c r="F1" s="2"/>
      <c r="G1" s="2"/>
      <c r="H1" s="2"/>
      <c r="I1" s="2"/>
      <c r="J1" s="3"/>
      <c r="K1" s="1"/>
      <c r="L1" s="1"/>
      <c r="M1" s="1"/>
      <c r="N1" s="1"/>
      <c r="O1" s="1"/>
      <c r="P1" s="1"/>
      <c r="Q1" s="1"/>
    </row>
    <row r="2" ht="13.8" customHeight="1" spans="1:17" x14ac:dyDescent="0.25">
      <c r="A2" s="4" t="s">
        <v>0</v>
      </c>
      <c r="B2" s="5"/>
      <c r="C2" s="5"/>
      <c r="D2" s="5"/>
      <c r="E2" s="5"/>
      <c r="F2" s="5"/>
      <c r="G2" s="6"/>
      <c r="H2" s="7"/>
      <c r="I2" s="7"/>
      <c r="J2" s="7"/>
      <c r="K2" s="7"/>
      <c r="L2" s="1"/>
      <c r="M2" s="1"/>
      <c r="N2" s="1"/>
      <c r="O2" s="8"/>
      <c r="P2" s="8"/>
      <c r="Q2" s="1"/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1"/>
      <c r="M3" s="1"/>
      <c r="N3" s="1"/>
      <c r="O3" s="1"/>
      <c r="P3" s="1"/>
      <c r="Q3" s="1"/>
    </row>
    <row r="4" ht="39.75" customHeight="1" spans="1:17" x14ac:dyDescent="0.25">
      <c r="A4" s="9" t="s">
        <v>1</v>
      </c>
      <c r="B4" s="10"/>
      <c r="C4" s="10"/>
      <c r="D4" s="10"/>
      <c r="E4" s="10"/>
      <c r="F4" s="10"/>
      <c r="G4" s="11"/>
      <c r="H4" s="12" t="s">
        <v>2</v>
      </c>
      <c r="I4" s="13"/>
      <c r="J4" s="13"/>
      <c r="K4" s="13"/>
      <c r="L4" s="7"/>
      <c r="M4" s="1"/>
      <c r="N4" s="1"/>
      <c r="O4" s="1"/>
      <c r="P4" s="1"/>
      <c r="Q4" s="14"/>
    </row>
    <row r="5" ht="29.25" customHeight="1" spans="1:1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1"/>
      <c r="M5" s="1"/>
      <c r="Q5" s="14"/>
    </row>
    <row r="6" ht="13.8" customHeight="1" spans="1:13" x14ac:dyDescent="0.25">
      <c r="A6" s="15" t="s">
        <v>3</v>
      </c>
      <c r="B6" s="16"/>
      <c r="C6" s="16"/>
      <c r="D6" s="16"/>
      <c r="E6" s="16"/>
      <c r="F6" s="17"/>
      <c r="G6" s="18" t="s">
        <v>4</v>
      </c>
      <c r="H6" s="3"/>
      <c r="I6" s="3"/>
      <c r="J6" s="7"/>
      <c r="K6" s="7"/>
      <c r="L6" s="1"/>
      <c r="M6" s="1"/>
    </row>
    <row r="7" spans="1:13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1"/>
      <c r="M7" s="1"/>
    </row>
    <row r="8" ht="20.1" customHeight="1" spans="1:13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1"/>
      <c r="L8" s="22"/>
      <c r="M8" s="23"/>
    </row>
    <row r="9" ht="20.1" customHeight="1" spans="1:14" x14ac:dyDescent="0.25">
      <c r="A9" s="24" t="s">
        <v>5</v>
      </c>
      <c r="B9" s="25"/>
      <c r="C9" s="25"/>
      <c r="D9" s="25"/>
      <c r="E9" s="25"/>
      <c r="F9" s="25"/>
      <c r="G9" s="25"/>
      <c r="H9" s="25"/>
      <c r="I9" s="25"/>
      <c r="J9" s="7"/>
      <c r="K9" s="26"/>
      <c r="L9" s="22" t="s">
        <v>6</v>
      </c>
      <c r="M9" s="23"/>
      <c r="N9" s="27"/>
    </row>
    <row r="10" ht="20.1" customHeight="1" spans="1:14" x14ac:dyDescent="0.25">
      <c r="A10" s="24" t="s">
        <v>7</v>
      </c>
      <c r="B10" s="7"/>
      <c r="C10" s="7"/>
      <c r="D10" s="7"/>
      <c r="E10" s="7"/>
      <c r="F10" s="7"/>
      <c r="G10" s="7"/>
      <c r="H10" s="7"/>
      <c r="I10" s="7"/>
      <c r="J10" s="7"/>
      <c r="K10" s="26"/>
      <c r="L10" s="22" t="s">
        <v>8</v>
      </c>
      <c r="M10" s="23"/>
      <c r="N10" s="27"/>
    </row>
    <row r="11" ht="20.1" customHeight="1" spans="1:13" x14ac:dyDescent="0.25">
      <c r="A11" s="28" t="s">
        <v>9</v>
      </c>
      <c r="B11" s="29"/>
      <c r="C11" s="29"/>
      <c r="D11" s="29"/>
      <c r="E11" s="29"/>
      <c r="F11" s="29"/>
      <c r="G11" s="29"/>
      <c r="H11" s="29"/>
      <c r="I11" s="29"/>
      <c r="J11" s="29"/>
      <c r="K11" s="30"/>
      <c r="L11" s="22" t="s">
        <v>10</v>
      </c>
      <c r="M11" s="23"/>
    </row>
    <row r="12" spans="1:1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1"/>
      <c r="M12" s="1"/>
      <c r="Q12" s="31" t="s">
        <v>11</v>
      </c>
    </row>
    <row r="13" ht="13.8" customHeight="1" spans="1:17" x14ac:dyDescent="0.25">
      <c r="A13" s="15" t="s">
        <v>12</v>
      </c>
      <c r="B13" s="32"/>
      <c r="C13" s="33"/>
      <c r="D13" s="22" t="s">
        <v>13</v>
      </c>
      <c r="E13" s="22"/>
      <c r="F13" s="22"/>
      <c r="G13" s="22"/>
      <c r="H13" s="7"/>
      <c r="I13" s="7"/>
      <c r="J13" s="7"/>
      <c r="K13" s="7"/>
      <c r="L13" s="7"/>
      <c r="M13" s="1"/>
      <c r="Q13" s="31"/>
    </row>
    <row r="14" spans="1:13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1"/>
      <c r="M14" s="1"/>
    </row>
    <row r="15" ht="15" customHeight="1" spans="1:13" x14ac:dyDescent="0.25">
      <c r="A15" s="15" t="s">
        <v>14</v>
      </c>
      <c r="B15" s="16"/>
      <c r="C15" s="17"/>
      <c r="D15" s="23" t="s">
        <v>15</v>
      </c>
      <c r="E15" s="18"/>
      <c r="F15" s="18"/>
      <c r="H15" s="7"/>
      <c r="I15" s="7"/>
      <c r="J15" s="7"/>
      <c r="K15" s="7"/>
      <c r="L15" s="1"/>
      <c r="M15" s="1"/>
    </row>
    <row r="16" spans="1:13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1"/>
      <c r="M16" s="1"/>
    </row>
    <row r="17" ht="15" customHeight="1" spans="1:13" x14ac:dyDescent="0.25">
      <c r="A17" s="15" t="s">
        <v>16</v>
      </c>
      <c r="B17" s="34"/>
      <c r="C17" s="35"/>
      <c r="D17" s="23" t="s">
        <v>17</v>
      </c>
      <c r="E17" s="36"/>
      <c r="F17" s="36"/>
      <c r="H17" s="37"/>
      <c r="I17" s="37"/>
      <c r="J17" s="37"/>
      <c r="K17" s="37"/>
      <c r="L17" s="1"/>
      <c r="M17" s="1"/>
    </row>
    <row r="18" spans="1:13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1"/>
      <c r="M18" s="1"/>
    </row>
    <row r="19" ht="13.8" customHeight="1" spans="1:13" x14ac:dyDescent="0.25">
      <c r="A19" s="38" t="s">
        <v>18</v>
      </c>
      <c r="B19" s="16"/>
      <c r="C19" s="17"/>
      <c r="D19" s="18" t="s">
        <v>19</v>
      </c>
      <c r="E19" s="18"/>
      <c r="F19" s="39"/>
      <c r="G19" s="40"/>
      <c r="H19" s="7"/>
      <c r="I19" s="7"/>
      <c r="J19" s="7"/>
      <c r="K19" s="7"/>
      <c r="L19" s="1"/>
      <c r="M19" s="1"/>
    </row>
    <row r="20" spans="1:13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1"/>
      <c r="M20" s="1"/>
    </row>
    <row r="21" ht="13.8" customHeight="1" spans="1:13" x14ac:dyDescent="0.25">
      <c r="A21" s="38" t="s">
        <v>20</v>
      </c>
      <c r="B21" s="16"/>
      <c r="C21" s="17"/>
      <c r="D21" s="18" t="s">
        <v>21</v>
      </c>
      <c r="E21" s="18"/>
      <c r="F21" s="39"/>
      <c r="G21" s="40"/>
      <c r="H21" s="7"/>
      <c r="I21" s="7"/>
      <c r="J21" s="7"/>
      <c r="K21" s="7"/>
      <c r="L21" s="1"/>
      <c r="M21" s="1"/>
    </row>
    <row r="22" spans="1:13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1"/>
      <c r="M22" s="1"/>
    </row>
    <row r="23" ht="15.75" customHeight="1" spans="1:13" x14ac:dyDescent="0.25">
      <c r="A23" s="15" t="s">
        <v>22</v>
      </c>
      <c r="B23" s="16"/>
      <c r="C23" s="17"/>
      <c r="D23" s="18"/>
      <c r="E23" s="18"/>
      <c r="F23" s="22"/>
      <c r="G23" s="7"/>
      <c r="H23" s="7"/>
      <c r="I23" s="7"/>
      <c r="J23" s="7"/>
      <c r="K23" s="7"/>
      <c r="L23" s="1"/>
      <c r="M23" s="1"/>
    </row>
    <row r="24" spans="1:13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1"/>
      <c r="M24" s="1"/>
    </row>
    <row r="25" ht="13.8" customHeight="1" spans="1:13" x14ac:dyDescent="0.25">
      <c r="A25" s="38" t="s">
        <v>20</v>
      </c>
      <c r="B25" s="16"/>
      <c r="C25" s="17"/>
      <c r="D25" s="18" t="s">
        <v>23</v>
      </c>
      <c r="E25" s="18"/>
      <c r="F25" s="22"/>
      <c r="G25" s="7"/>
      <c r="H25" s="7"/>
      <c r="I25" s="7"/>
      <c r="J25" s="7"/>
      <c r="K25" s="7"/>
      <c r="L25" s="1"/>
      <c r="M25" s="1"/>
    </row>
    <row r="26" spans="1:13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1"/>
      <c r="M26" s="1"/>
    </row>
    <row r="27" ht="12.75" customHeight="1" spans="1:13" x14ac:dyDescent="0.25">
      <c r="A27" s="41" t="s">
        <v>24</v>
      </c>
      <c r="B27" s="32"/>
      <c r="C27" s="32"/>
      <c r="D27" s="32"/>
      <c r="E27" s="32"/>
      <c r="F27" s="32"/>
      <c r="G27" s="33"/>
      <c r="H27" s="42" t="s">
        <v>25</v>
      </c>
      <c r="I27" s="43"/>
      <c r="J27" s="22"/>
      <c r="K27" s="7"/>
      <c r="L27" s="44"/>
      <c r="M27" s="45"/>
    </row>
    <row r="28" ht="13.8" customHeight="1" spans="1:13" x14ac:dyDescent="0.25">
      <c r="A28" s="24"/>
      <c r="B28" s="7"/>
      <c r="C28" s="7"/>
      <c r="D28" s="7"/>
      <c r="E28" s="7"/>
      <c r="F28" s="7"/>
      <c r="G28" s="7"/>
      <c r="H28" s="7"/>
      <c r="I28" s="7"/>
      <c r="J28" s="7"/>
      <c r="K28" s="7"/>
      <c r="L28" s="45"/>
      <c r="M28" s="45"/>
    </row>
    <row r="29" ht="13.8" customHeight="1" spans="1:13" x14ac:dyDescent="0.2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1"/>
      <c r="L29" s="46" t="s">
        <v>26</v>
      </c>
      <c r="M29" s="47"/>
    </row>
    <row r="30" ht="13.8" customHeight="1" spans="1:13" x14ac:dyDescent="0.25">
      <c r="A30" s="24" t="s">
        <v>27</v>
      </c>
      <c r="B30" s="7"/>
      <c r="C30" s="7"/>
      <c r="D30" s="7"/>
      <c r="E30" s="7"/>
      <c r="F30" s="7"/>
      <c r="G30" s="7"/>
      <c r="H30" s="7"/>
      <c r="I30" s="7"/>
      <c r="J30" s="7"/>
      <c r="K30" s="26"/>
      <c r="L30" s="46"/>
      <c r="M30" s="47"/>
    </row>
    <row r="31" ht="13.8" customHeight="1" spans="1:13" x14ac:dyDescent="0.25">
      <c r="A31" s="24" t="s">
        <v>28</v>
      </c>
      <c r="B31" s="48"/>
      <c r="C31" s="48"/>
      <c r="D31" s="48"/>
      <c r="E31" s="48"/>
      <c r="F31" s="48"/>
      <c r="G31" s="48" t="s">
        <v>29</v>
      </c>
      <c r="H31" s="48"/>
      <c r="I31" s="48"/>
      <c r="J31" s="7"/>
      <c r="K31" s="26"/>
      <c r="L31" s="46"/>
      <c r="M31" s="47"/>
    </row>
    <row r="32" ht="13.8" customHeight="1" spans="1:13" x14ac:dyDescent="0.25">
      <c r="A32" s="24" t="s">
        <v>30</v>
      </c>
      <c r="B32" s="48"/>
      <c r="C32" s="48"/>
      <c r="D32" s="48"/>
      <c r="E32" s="48"/>
      <c r="F32" s="48"/>
      <c r="G32" s="48"/>
      <c r="H32" s="48"/>
      <c r="I32" s="48"/>
      <c r="J32" s="7"/>
      <c r="K32" s="26"/>
      <c r="L32" s="46"/>
      <c r="M32" s="47"/>
    </row>
    <row r="33" ht="13.8" customHeight="1" spans="1:13" x14ac:dyDescent="0.25">
      <c r="A33" s="3" t="s">
        <v>9</v>
      </c>
      <c r="B33" s="7"/>
      <c r="C33" s="7"/>
      <c r="D33" s="7"/>
      <c r="E33" s="7"/>
      <c r="F33" s="7"/>
      <c r="G33" s="7"/>
      <c r="H33" s="7"/>
      <c r="I33" s="7"/>
      <c r="J33" s="7"/>
      <c r="K33" s="30"/>
      <c r="L33" s="46"/>
      <c r="M33" s="47"/>
    </row>
    <row r="34" spans="12:13" x14ac:dyDescent="0.25">
      <c r="L34" s="49"/>
      <c r="M34" s="49"/>
    </row>
    <row r="35" ht="13.8" customHeight="1" spans="1:13" x14ac:dyDescent="0.25">
      <c r="A35" s="19" t="s">
        <v>31</v>
      </c>
      <c r="B35" s="50"/>
      <c r="C35" s="50"/>
      <c r="D35" s="50"/>
      <c r="E35" s="50"/>
      <c r="F35" s="50"/>
      <c r="G35" s="50"/>
      <c r="H35" s="50"/>
      <c r="I35" s="50"/>
      <c r="J35" s="50"/>
      <c r="K35" s="51"/>
      <c r="L35" s="52" t="s">
        <v>32</v>
      </c>
      <c r="M35" s="53"/>
    </row>
    <row r="36" ht="13.8" customHeight="1" spans="1:13" x14ac:dyDescent="0.25">
      <c r="A36" s="24" t="s">
        <v>22</v>
      </c>
      <c r="B36" s="1"/>
      <c r="C36" s="1"/>
      <c r="D36" s="1"/>
      <c r="E36" s="1"/>
      <c r="F36" s="1"/>
      <c r="G36" s="1"/>
      <c r="H36" s="1"/>
      <c r="I36" s="1"/>
      <c r="J36" s="1"/>
      <c r="K36" s="54"/>
      <c r="L36" s="52" t="s">
        <v>33</v>
      </c>
      <c r="M36" s="53"/>
    </row>
    <row r="37" ht="13.8" customHeight="1" spans="1:13" x14ac:dyDescent="0.25">
      <c r="A37" s="28" t="s">
        <v>9</v>
      </c>
      <c r="B37" s="55"/>
      <c r="C37" s="55"/>
      <c r="D37" s="55"/>
      <c r="E37" s="55"/>
      <c r="F37" s="55"/>
      <c r="G37" s="55"/>
      <c r="H37" s="55"/>
      <c r="I37" s="55"/>
      <c r="J37" s="55"/>
      <c r="K37" s="56"/>
      <c r="L37" s="52" t="s">
        <v>10</v>
      </c>
      <c r="M37" s="53"/>
    </row>
    <row r="38" spans="12:13" x14ac:dyDescent="0.25">
      <c r="L38" s="49"/>
      <c r="M38" s="49"/>
    </row>
    <row r="39" ht="13.8" customHeight="1" spans="1:19" x14ac:dyDescent="0.25">
      <c r="A39" s="57" t="s">
        <v>34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</row>
    <row r="40" ht="13.8" customHeight="1" spans="1:13" x14ac:dyDescent="0.25">
      <c r="A40" s="28" t="s">
        <v>35</v>
      </c>
      <c r="B40" s="55"/>
      <c r="C40" s="55"/>
      <c r="D40" s="55"/>
      <c r="E40" s="55"/>
      <c r="F40" s="55"/>
      <c r="G40" s="55"/>
      <c r="H40" s="55"/>
      <c r="I40" s="55"/>
      <c r="J40" s="55"/>
      <c r="K40" s="56"/>
      <c r="L40" s="53" t="s">
        <v>36</v>
      </c>
      <c r="M40" s="53"/>
    </row>
    <row r="41" ht="13.8" customHeight="1" spans="1:13" x14ac:dyDescent="0.25">
      <c r="A41" s="28"/>
      <c r="B41" s="55"/>
      <c r="C41" s="55"/>
      <c r="D41" s="55"/>
      <c r="E41" s="55"/>
      <c r="F41" s="55"/>
      <c r="G41" s="55"/>
      <c r="H41" s="1"/>
      <c r="I41" s="1"/>
      <c r="J41" s="1"/>
      <c r="K41" s="1"/>
      <c r="L41" s="49"/>
      <c r="M41" s="49"/>
    </row>
    <row r="42" ht="12.75" customHeight="1" spans="1:9" x14ac:dyDescent="0.25">
      <c r="A42" s="58"/>
      <c r="B42" s="59" t="s">
        <v>37</v>
      </c>
      <c r="C42" s="59" t="s">
        <v>38</v>
      </c>
      <c r="D42" s="59" t="s">
        <v>39</v>
      </c>
      <c r="E42" s="59" t="s">
        <v>40</v>
      </c>
      <c r="F42" s="59" t="s">
        <v>41</v>
      </c>
      <c r="G42" s="59" t="s">
        <v>42</v>
      </c>
      <c r="H42" s="59" t="s">
        <v>43</v>
      </c>
      <c r="I42" s="60" t="s">
        <v>44</v>
      </c>
    </row>
    <row r="43" spans="1:9" x14ac:dyDescent="0.25">
      <c r="A43" s="61" t="s">
        <v>12</v>
      </c>
      <c r="B43" s="59">
        <v>40.81</v>
      </c>
      <c r="C43" s="59">
        <v>42.96</v>
      </c>
      <c r="D43" s="59">
        <v>2</v>
      </c>
      <c r="E43" s="62">
        <f>C43*D43</f>
        <v>85.92</v>
      </c>
      <c r="F43" s="59">
        <v>300</v>
      </c>
      <c r="G43" s="5" t="s">
        <v>45</v>
      </c>
      <c r="H43" s="63">
        <f>E43/13</f>
        <v>6.609230769230769</v>
      </c>
      <c r="I43" s="60"/>
    </row>
    <row r="44" spans="1:9" x14ac:dyDescent="0.25">
      <c r="A44" s="61"/>
      <c r="B44" s="64"/>
      <c r="C44" s="58"/>
      <c r="D44" s="64"/>
      <c r="E44" s="65"/>
      <c r="F44" s="64"/>
      <c r="G44" s="5"/>
      <c r="H44" s="66"/>
      <c r="I44" s="60"/>
    </row>
    <row r="45" spans="1:9" x14ac:dyDescent="0.25">
      <c r="A45" s="48"/>
      <c r="B45" s="1"/>
      <c r="C45" s="1"/>
      <c r="D45" s="1"/>
      <c r="E45" s="1"/>
      <c r="F45" s="1"/>
      <c r="G45" s="1"/>
      <c r="H45" s="67"/>
      <c r="I45" s="60"/>
    </row>
    <row r="46" spans="1:9" x14ac:dyDescent="0.25">
      <c r="A46" s="68"/>
      <c r="B46" s="1"/>
      <c r="C46" s="1"/>
      <c r="D46" s="1"/>
      <c r="E46" s="1"/>
      <c r="F46" s="1"/>
      <c r="G46" s="1"/>
      <c r="H46" s="67"/>
      <c r="I46" s="60"/>
    </row>
  </sheetData>
  <mergeCells count="6">
    <mergeCell ref="E1:I1"/>
    <mergeCell ref="A4:G4"/>
    <mergeCell ref="L27:M27"/>
    <mergeCell ref="L29:M33"/>
    <mergeCell ref="A39:S39"/>
    <mergeCell ref="I42:I46"/>
  </mergeCells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2"/>
  <sheetViews>
    <sheetView workbookViewId="0" zoomScale="100" zoomScaleNormal="100" view="pageBreakPreview">
      <selection activeCell="F24" sqref="F24"/>
    </sheetView>
  </sheetViews>
  <sheetFormatPr defaultRowHeight="13.8" outlineLevelRow="0" outlineLevelCol="0" x14ac:dyDescent="0" defaultColWidth="9.109375" customHeight="1"/>
  <cols>
    <col min="1" max="1" width="8.6640625" style="7" customWidth="1"/>
    <col min="2" max="2" width="9.6640625" style="7" customWidth="1"/>
    <col min="3" max="3" width="9.109375" style="7" customWidth="1"/>
    <col min="4" max="4" width="1.5546875" style="7" customWidth="1"/>
    <col min="5" max="5" width="9.109375" style="7" customWidth="1"/>
    <col min="6" max="6" width="7.6640625" style="7" customWidth="1"/>
    <col min="7" max="7" width="13.109375" style="7" customWidth="1"/>
    <col min="8" max="8" width="7.33203125" style="7" customWidth="1"/>
    <col min="9" max="9" width="24" style="7" customWidth="1"/>
    <col min="10" max="10" width="10.109375" style="7" customWidth="1"/>
    <col min="11" max="11" width="31.109375" style="7" customWidth="1"/>
    <col min="12" max="16384" width="9.109375" style="7" customWidth="1"/>
  </cols>
  <sheetData>
    <row r="1" spans="2:9" s="48" customFormat="1" x14ac:dyDescent="0.25">
      <c r="B1" s="69" t="s">
        <v>46</v>
      </c>
      <c r="C1" s="70" t="str">
        <f>Лист1!A35</f>
        <v>ГКУ «УДМС»</v>
      </c>
      <c r="D1" s="70"/>
      <c r="E1" s="70"/>
      <c r="F1" s="74"/>
      <c r="G1" s="71"/>
      <c r="H1" s="70"/>
      <c r="I1" s="70"/>
    </row>
    <row r="2" spans="2:9" s="48" customFormat="1" x14ac:dyDescent="0.25">
      <c r="B2" s="69" t="s">
        <v>64</v>
      </c>
      <c r="C2" s="70" t="str">
        <f>Лист1!A36</f>
        <v>ООО «Резонанс-Энерго»</v>
      </c>
      <c r="D2" s="70"/>
      <c r="E2" s="70"/>
      <c r="F2" s="74"/>
      <c r="G2" s="71"/>
      <c r="H2" s="70"/>
      <c r="I2" s="70"/>
    </row>
    <row r="3" ht="59.25" customHeight="1" spans="2:11" s="48" customFormat="1" x14ac:dyDescent="0.25">
      <c r="B3" s="72" t="s">
        <v>48</v>
      </c>
      <c r="C3" s="73" t="str">
        <f>Лист1!A4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73"/>
      <c r="E3" s="73"/>
      <c r="F3" s="73"/>
      <c r="G3" s="73"/>
      <c r="H3" s="73"/>
      <c r="I3" s="73"/>
      <c r="J3" s="117"/>
      <c r="K3" s="117"/>
    </row>
    <row r="4" spans="2:11" s="48" customFormat="1" x14ac:dyDescent="0.25">
      <c r="B4" s="72" t="s">
        <v>49</v>
      </c>
      <c r="C4" s="74" t="str">
        <f>Лист1!A25</f>
        <v>03.06.2024 г.</v>
      </c>
      <c r="D4" s="74"/>
      <c r="E4" s="74"/>
      <c r="F4" s="72"/>
      <c r="G4" s="118"/>
      <c r="H4" s="119"/>
      <c r="I4" s="119"/>
      <c r="J4" s="76"/>
      <c r="K4" s="76"/>
    </row>
    <row r="5" ht="15.75" customHeight="1" x14ac:dyDescent="0.25"/>
    <row r="6" ht="15.75" customHeight="1" spans="1:11" x14ac:dyDescent="0.25">
      <c r="A6" s="80" t="s">
        <v>126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ht="15.75" customHeight="1" spans="1:11" x14ac:dyDescent="0.25">
      <c r="A7" s="80" t="s">
        <v>127</v>
      </c>
      <c r="B7" s="80"/>
      <c r="C7" s="80"/>
      <c r="D7" s="80"/>
      <c r="E7" s="80"/>
      <c r="F7" s="80"/>
      <c r="G7" s="80"/>
      <c r="H7" s="80"/>
      <c r="I7" s="80"/>
      <c r="J7" s="80"/>
      <c r="K7" s="80"/>
    </row>
    <row r="8" ht="15.75" customHeight="1" spans="1:26" x14ac:dyDescent="0.25">
      <c r="A8" s="48" t="s">
        <v>128</v>
      </c>
      <c r="B8" s="48"/>
      <c r="C8" s="84" t="str">
        <f>Лист1!A13</f>
        <v>ГНБ № 10-1С</v>
      </c>
      <c r="D8" s="48"/>
      <c r="E8" s="48"/>
      <c r="G8" s="48"/>
      <c r="H8" s="48"/>
      <c r="I8" s="48"/>
      <c r="J8" s="48"/>
      <c r="K8" s="48"/>
      <c r="P8" s="48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 spans="1:11" x14ac:dyDescent="0.25">
      <c r="A9" s="77" t="s">
        <v>129</v>
      </c>
      <c r="B9" s="120"/>
      <c r="C9" s="84" t="str">
        <f>Лист1!A6</f>
        <v>По адресу: г. Москва, ул. Кантемировская, д.60</v>
      </c>
      <c r="D9" s="120"/>
      <c r="E9" s="120"/>
      <c r="F9" s="120"/>
      <c r="G9" s="120"/>
      <c r="H9" s="120"/>
      <c r="I9" s="120"/>
      <c r="J9" s="120"/>
      <c r="K9" s="120"/>
    </row>
    <row r="10" ht="15.75" customHeight="1" spans="1:11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</row>
    <row r="11" ht="15.75" customHeight="1" spans="1:11" x14ac:dyDescent="0.25">
      <c r="A11" s="121" t="str">
        <f>Лист1!A43</f>
        <v>ГНБ № 10-1С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</row>
    <row r="12" ht="15.75" customHeight="1" spans="1:11" x14ac:dyDescent="0.25">
      <c r="A12" s="122" t="s">
        <v>130</v>
      </c>
      <c r="B12" s="123" t="s">
        <v>131</v>
      </c>
      <c r="C12" s="123"/>
      <c r="D12" s="123"/>
      <c r="E12" s="123"/>
      <c r="F12" s="123"/>
      <c r="G12" s="123"/>
      <c r="H12" s="123"/>
      <c r="I12" s="123"/>
      <c r="J12" s="121" t="s">
        <v>132</v>
      </c>
      <c r="K12" s="121" t="s">
        <v>133</v>
      </c>
    </row>
    <row r="13" ht="29.25" customHeight="1" spans="1:11" x14ac:dyDescent="0.25">
      <c r="A13" s="124">
        <v>1</v>
      </c>
      <c r="B13" s="125" t="s">
        <v>134</v>
      </c>
      <c r="C13" s="126" t="str">
        <f>Лист1!A39</f>
        <v>Труба "ПЭ тип "С" 110*6,3 техническая (L012) (паспорт  качества от 23.08.2021г.)</v>
      </c>
      <c r="D13" s="126"/>
      <c r="E13" s="126"/>
      <c r="F13" s="126"/>
      <c r="G13" s="126"/>
      <c r="H13" s="126"/>
      <c r="I13" s="127"/>
      <c r="J13" s="128" t="s">
        <v>135</v>
      </c>
      <c r="K13" s="129">
        <f>Лист1!E43</f>
        <v>85.92</v>
      </c>
    </row>
    <row r="14" ht="15.75" customHeight="1" spans="1:11" x14ac:dyDescent="0.25">
      <c r="A14" s="130">
        <v>2</v>
      </c>
      <c r="B14" s="131" t="s">
        <v>136</v>
      </c>
      <c r="C14" s="77"/>
      <c r="D14" s="77"/>
      <c r="E14" s="77"/>
      <c r="F14" s="77"/>
      <c r="G14" s="77"/>
      <c r="H14" s="77"/>
      <c r="I14" s="132"/>
      <c r="J14" s="133" t="s">
        <v>135</v>
      </c>
      <c r="K14" s="129">
        <f>K13</f>
        <v>85.92</v>
      </c>
    </row>
    <row r="15" spans="1:26" x14ac:dyDescent="0.25">
      <c r="A15" s="124">
        <v>3</v>
      </c>
      <c r="B15" s="134" t="s">
        <v>36</v>
      </c>
      <c r="C15" s="126" t="str">
        <f>Лист1!A40</f>
        <v> d=110 мм.</v>
      </c>
      <c r="D15" s="126"/>
      <c r="E15" s="126"/>
      <c r="F15" s="126"/>
      <c r="G15" s="126"/>
      <c r="H15" s="126"/>
      <c r="I15" s="127"/>
      <c r="J15" s="128" t="s">
        <v>137</v>
      </c>
      <c r="K15" s="135">
        <f>Лист1!D43*2</f>
        <v>4</v>
      </c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5.75" customHeight="1" spans="1:1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7" ht="15.75" customHeight="1" spans="16:25" x14ac:dyDescent="0.25">
      <c r="P17" s="82"/>
      <c r="Q17" s="82"/>
      <c r="R17" s="82"/>
      <c r="S17" s="82"/>
      <c r="T17" s="82"/>
      <c r="U17" s="82"/>
      <c r="V17" s="82"/>
      <c r="W17" s="82"/>
      <c r="X17" s="82"/>
      <c r="Y17" s="82"/>
    </row>
    <row r="18" ht="15.75" customHeight="1" spans="1:2" x14ac:dyDescent="0.25">
      <c r="A18" s="48"/>
      <c r="B18" s="48"/>
    </row>
    <row r="19" ht="15.75" customHeight="1" spans="1:11" x14ac:dyDescent="0.25">
      <c r="A19" s="136"/>
      <c r="B19" s="48"/>
      <c r="C19" s="136"/>
      <c r="D19" s="136"/>
      <c r="E19" s="136"/>
      <c r="F19" s="136"/>
      <c r="G19" s="136"/>
      <c r="H19" s="136"/>
      <c r="I19" s="136"/>
      <c r="J19" s="136"/>
      <c r="K19" s="136"/>
    </row>
    <row r="20" ht="15.75" customHeight="1" spans="1:11" x14ac:dyDescent="0.25">
      <c r="A20" s="48" t="str">
        <f>Лист1!A33</f>
        <v> 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</row>
    <row r="21" ht="15.75" customHeight="1" spans="1:2" x14ac:dyDescent="0.25">
      <c r="A21" s="48"/>
      <c r="B21" s="48"/>
    </row>
    <row r="22" ht="15.75" customHeight="1" spans="1:11" x14ac:dyDescent="0.25">
      <c r="A22" s="48" t="str">
        <f>Лист1!A31</f>
        <v>Начальник участка ООО «Резонанс-Энерго» ______________________Борков Е.А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</row>
    <row r="23" ht="15.75" customHeight="1" spans="1:1" x14ac:dyDescent="0.25">
      <c r="A23" s="48"/>
    </row>
    <row r="24" ht="15.75" customHeight="1" spans="1:11" x14ac:dyDescent="0.25">
      <c r="A24" s="48" t="str">
        <f>Лист1!A30</f>
        <v>Представитель Южного РЭС АО "ОЭК" ____________________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</row>
    <row r="25" ht="15.75" customHeight="1" x14ac:dyDescent="0.25"/>
    <row r="26" ht="15.75" customHeight="1" spans="2:11" x14ac:dyDescent="0.25">
      <c r="B26" s="48"/>
      <c r="C26" s="48"/>
      <c r="D26" s="48"/>
      <c r="E26" s="48"/>
      <c r="F26" s="48"/>
      <c r="G26" s="48"/>
      <c r="H26" s="48"/>
      <c r="I26" s="48"/>
      <c r="J26" s="48"/>
      <c r="K26" s="48"/>
    </row>
    <row r="27" ht="15.75" customHeight="1" spans="1:4" x14ac:dyDescent="0.25">
      <c r="A27" s="48"/>
      <c r="B27" s="48"/>
      <c r="C27" s="48"/>
      <c r="D27" s="48"/>
    </row>
    <row r="28" ht="15.75" customHeight="1" spans="2:11" x14ac:dyDescent="0.25">
      <c r="B28" s="48"/>
      <c r="C28" s="48"/>
      <c r="D28" s="48"/>
      <c r="E28" s="48"/>
      <c r="F28" s="48"/>
      <c r="G28" s="48"/>
      <c r="H28" s="48"/>
      <c r="I28" s="48"/>
      <c r="J28" s="48"/>
      <c r="K28" s="48"/>
    </row>
    <row r="29" ht="15.75" customHeight="1" spans="1:11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</row>
    <row r="30" ht="15.75" customHeight="1" x14ac:dyDescent="0.25"/>
    <row r="31" ht="15.75" customHeight="1" spans="1:1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</row>
    <row r="32" ht="15.75" customHeight="1" x14ac:dyDescent="0.25"/>
    <row r="33" ht="15.75" customHeight="1" spans="1:1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</row>
    <row r="34" ht="15.75" customHeight="1" x14ac:dyDescent="0.25"/>
    <row r="35" ht="15.75" customHeight="1" spans="1:1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</row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</sheetData>
  <mergeCells count="12">
    <mergeCell ref="C3:I3"/>
    <mergeCell ref="C4:E4"/>
    <mergeCell ref="G4:I4"/>
    <mergeCell ref="A6:K6"/>
    <mergeCell ref="A7:K7"/>
    <mergeCell ref="A11:K11"/>
    <mergeCell ref="B12:I12"/>
    <mergeCell ref="C13:I13"/>
    <mergeCell ref="B14:I14"/>
    <mergeCell ref="C15:I15"/>
    <mergeCell ref="P15:Z15"/>
    <mergeCell ref="P17:Y17"/>
  </mergeCells>
  <pageMargins left="0.25" right="0.25" top="0.75" bottom="0.75" header="0.3" footer="0.3"/>
  <pageSetup paperSize="9" orientation="portrait" horizontalDpi="4294967295" verticalDpi="4294967295" scale="76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68"/>
  <sheetViews>
    <sheetView workbookViewId="0" zoomScale="115" zoomScaleNormal="100" view="pageBreakPreview">
      <selection activeCell="O27" sqref="O27"/>
    </sheetView>
  </sheetViews>
  <sheetFormatPr defaultRowHeight="13.8" outlineLevelRow="0" outlineLevelCol="0" x14ac:dyDescent="0" defaultColWidth="9.109375" customHeight="1"/>
  <cols>
    <col min="1" max="1" width="4.109375" style="48" customWidth="1"/>
    <col min="2" max="2" width="13.6640625" style="48" customWidth="1"/>
    <col min="3" max="3" width="16.5546875" style="48" customWidth="1"/>
    <col min="4" max="4" width="10.88671875" style="48" customWidth="1"/>
    <col min="5" max="5" width="6.88671875" style="48" customWidth="1"/>
    <col min="6" max="6" width="8.5546875" style="48" customWidth="1"/>
    <col min="7" max="8" width="9.33203125" style="48" customWidth="1"/>
    <col min="9" max="9" width="7.5546875" style="48" customWidth="1"/>
    <col min="10" max="10" width="10.33203125" style="48" customWidth="1"/>
    <col min="11" max="11" width="13" style="48" customWidth="1"/>
    <col min="12" max="12" width="0.33203125" style="48" customWidth="1"/>
    <col min="13" max="16384" width="9.109375" style="48" customWidth="1"/>
  </cols>
  <sheetData>
    <row r="1" spans="2:11" x14ac:dyDescent="0.25">
      <c r="B1" s="69" t="s">
        <v>46</v>
      </c>
      <c r="C1" s="70" t="str">
        <f>Лист1!A35</f>
        <v>ГКУ «УДМС»</v>
      </c>
      <c r="D1" s="70"/>
      <c r="E1" s="70"/>
      <c r="F1" s="70"/>
      <c r="G1" s="71"/>
      <c r="H1" s="70"/>
      <c r="I1" s="70"/>
      <c r="J1" s="70"/>
      <c r="K1" s="70"/>
    </row>
    <row r="2" spans="2:11" x14ac:dyDescent="0.25">
      <c r="B2" s="69" t="s">
        <v>47</v>
      </c>
      <c r="C2" s="70" t="str">
        <f>Лист1!A36</f>
        <v>ООО «Резонанс-Энерго»</v>
      </c>
      <c r="D2" s="70"/>
      <c r="E2" s="70"/>
      <c r="F2" s="70"/>
      <c r="G2" s="71"/>
      <c r="H2" s="70"/>
      <c r="I2" s="70"/>
      <c r="J2" s="70"/>
      <c r="K2" s="70"/>
    </row>
    <row r="3" ht="50.25" customHeight="1" spans="2:11" x14ac:dyDescent="0.25">
      <c r="B3" s="72" t="s">
        <v>48</v>
      </c>
      <c r="C3" s="73" t="str">
        <f>Лист1!A4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73"/>
      <c r="E3" s="73"/>
      <c r="F3" s="73"/>
      <c r="G3" s="73"/>
      <c r="H3" s="73"/>
      <c r="I3" s="73"/>
      <c r="J3" s="73"/>
      <c r="K3" s="73"/>
    </row>
    <row r="4" spans="2:11" x14ac:dyDescent="0.25">
      <c r="B4" s="72" t="s">
        <v>49</v>
      </c>
      <c r="C4" s="74" t="str">
        <f>Лист1!A25</f>
        <v>03.06.2024 г.</v>
      </c>
      <c r="G4" s="75"/>
      <c r="H4" s="75"/>
      <c r="I4" s="75"/>
      <c r="J4" s="75"/>
      <c r="K4" s="76"/>
    </row>
    <row r="5" ht="9.75" customHeight="1" spans="1:19" x14ac:dyDescent="0.25">
      <c r="A5" s="77"/>
      <c r="B5" s="77"/>
      <c r="G5" s="78"/>
      <c r="H5" s="78"/>
      <c r="I5" s="78"/>
      <c r="J5" s="78"/>
      <c r="K5" s="78"/>
      <c r="O5" s="79"/>
      <c r="P5" s="79"/>
      <c r="Q5" s="79"/>
      <c r="R5" s="79"/>
      <c r="S5" s="79"/>
    </row>
    <row r="6" ht="15.75" customHeight="1" spans="1:11" x14ac:dyDescent="0.25">
      <c r="A6" s="80" t="s">
        <v>50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ht="15.75" customHeight="1" spans="1:26" x14ac:dyDescent="0.25">
      <c r="A7" s="80" t="s">
        <v>51</v>
      </c>
      <c r="B7" s="80"/>
      <c r="C7" s="80"/>
      <c r="D7" s="80"/>
      <c r="E7" s="80"/>
      <c r="F7" s="80"/>
      <c r="G7" s="80"/>
      <c r="H7" s="80"/>
      <c r="I7" s="80"/>
      <c r="J7" s="80"/>
      <c r="K7" s="80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1.25" customHeight="1" spans="1:26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 spans="1:26" x14ac:dyDescent="0.25">
      <c r="A9" s="79" t="s">
        <v>52</v>
      </c>
      <c r="B9" s="79"/>
      <c r="C9" s="79"/>
      <c r="D9" s="80"/>
      <c r="E9" s="80"/>
      <c r="F9" s="80"/>
      <c r="G9" s="80"/>
      <c r="H9" s="80"/>
      <c r="I9" s="80"/>
      <c r="J9" s="80"/>
      <c r="K9" s="80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5.75" customHeight="1" spans="1:26" x14ac:dyDescent="0.25">
      <c r="A10" s="48"/>
      <c r="B10" s="48"/>
      <c r="C10" s="48"/>
      <c r="D10" s="77"/>
      <c r="E10" s="77"/>
      <c r="F10" s="77"/>
      <c r="G10" s="77"/>
      <c r="H10" s="77"/>
      <c r="I10" s="77"/>
      <c r="J10" s="77"/>
      <c r="K10" s="77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5.75" customHeight="1" spans="1:26" x14ac:dyDescent="0.25">
      <c r="A11" s="82" t="s">
        <v>53</v>
      </c>
      <c r="B11" s="82"/>
      <c r="C11" s="82"/>
      <c r="D11" s="82"/>
      <c r="E11" s="82"/>
      <c r="F11" s="48"/>
      <c r="G11" s="48"/>
      <c r="H11" s="48"/>
      <c r="I11" s="48"/>
      <c r="J11" s="48"/>
      <c r="K11" s="48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5.75" customHeight="1" spans="1:26" x14ac:dyDescent="0.25">
      <c r="A12" s="77" t="str">
        <f>Лист1!A10</f>
        <v>Начальник участка ООО «Резонанс-Энерго» Борков Е.А</v>
      </c>
      <c r="B12" s="83"/>
      <c r="D12" s="77"/>
      <c r="E12" s="77"/>
      <c r="F12" s="77"/>
      <c r="G12" s="77"/>
      <c r="H12" s="77"/>
      <c r="I12" s="77"/>
      <c r="J12" s="77"/>
      <c r="K12" s="77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5.75" customHeight="1" spans="1:26" x14ac:dyDescent="0.25">
      <c r="A13" s="77" t="s">
        <v>54</v>
      </c>
      <c r="B13" s="77"/>
      <c r="C13" s="77"/>
      <c r="D13" s="77"/>
      <c r="E13" s="77"/>
      <c r="F13" s="80"/>
      <c r="G13" s="80"/>
      <c r="H13" s="80"/>
      <c r="I13" s="80"/>
      <c r="J13" s="80"/>
      <c r="K13" s="80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5.75" customHeight="1" spans="1:26" x14ac:dyDescent="0.25">
      <c r="A14" s="48" t="s">
        <v>55</v>
      </c>
      <c r="B14" s="82"/>
      <c r="C14" s="48"/>
      <c r="D14" s="82"/>
      <c r="E14" s="84"/>
      <c r="F14" s="84"/>
      <c r="G14" s="84"/>
      <c r="H14" s="84"/>
      <c r="I14" s="84"/>
      <c r="J14" s="85" t="str">
        <f>Лист1!A13</f>
        <v>ГНБ № 10-1С</v>
      </c>
      <c r="K14" s="85"/>
      <c r="L14" s="85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5.75" customHeight="1" spans="1:26" x14ac:dyDescent="0.25">
      <c r="A15" s="48" t="s">
        <v>56</v>
      </c>
      <c r="D15" s="86" t="str">
        <f>Лист1!A6</f>
        <v>По адресу: г. Москва, ул. Кантемировская, д.60</v>
      </c>
      <c r="E15" s="87"/>
      <c r="F15" s="87"/>
      <c r="G15" s="88"/>
      <c r="H15" s="88"/>
      <c r="I15" s="88"/>
      <c r="J15" s="88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5.75" customHeight="1" spans="1:26" x14ac:dyDescent="0.25">
      <c r="A16" s="77"/>
      <c r="B16" s="80"/>
      <c r="C16" s="48"/>
      <c r="D16" s="80"/>
      <c r="E16" s="80"/>
      <c r="F16" s="80"/>
      <c r="G16" s="80"/>
      <c r="H16" s="80"/>
      <c r="I16" s="80"/>
      <c r="J16" s="80"/>
      <c r="K16" s="80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5.75" customHeight="1" spans="1:26" x14ac:dyDescent="0.25">
      <c r="A17" s="89" t="s">
        <v>57</v>
      </c>
      <c r="B17" s="82"/>
      <c r="C17" s="48"/>
      <c r="D17" s="82"/>
      <c r="E17" s="82"/>
      <c r="F17" s="82"/>
      <c r="G17" s="82"/>
      <c r="H17" s="82"/>
      <c r="I17" s="82"/>
      <c r="J17" s="82"/>
      <c r="K17" s="82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5.75" customHeight="1" spans="1:26" x14ac:dyDescent="0.25">
      <c r="A18" s="90" t="s">
        <v>58</v>
      </c>
      <c r="B18" s="82"/>
      <c r="C18" s="48"/>
      <c r="D18" s="82"/>
      <c r="E18" s="82"/>
      <c r="F18" s="82"/>
      <c r="G18" s="82"/>
      <c r="H18" s="82"/>
      <c r="I18" s="82"/>
      <c r="J18" s="82"/>
      <c r="K18" s="82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5.75" customHeight="1" spans="1:26" x14ac:dyDescent="0.25">
      <c r="A19" s="90" t="s">
        <v>59</v>
      </c>
      <c r="B19" s="82"/>
      <c r="C19" s="48"/>
      <c r="D19" s="82"/>
      <c r="E19" s="82"/>
      <c r="F19" s="82"/>
      <c r="G19" s="82"/>
      <c r="H19" s="82"/>
      <c r="I19" s="82"/>
      <c r="J19" s="82"/>
      <c r="K19" s="82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5.75" customHeight="1" spans="1:26" x14ac:dyDescent="0.25">
      <c r="A20" s="77"/>
      <c r="B20" s="82"/>
      <c r="C20" s="48"/>
      <c r="D20" s="82"/>
      <c r="E20" s="82"/>
      <c r="F20" s="82"/>
      <c r="G20" s="82"/>
      <c r="H20" s="82"/>
      <c r="I20" s="82"/>
      <c r="J20" s="82"/>
      <c r="K20" s="82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5.75" customHeight="1" spans="1:26" x14ac:dyDescent="0.25">
      <c r="A21" s="90" t="s">
        <v>60</v>
      </c>
      <c r="B21" s="82"/>
      <c r="C21" s="48"/>
      <c r="D21" s="82"/>
      <c r="E21" s="82"/>
      <c r="F21" s="85" t="str">
        <f>Лист1!A13</f>
        <v>ГНБ № 10-1С</v>
      </c>
      <c r="G21" s="85"/>
      <c r="H21" s="85"/>
      <c r="I21" s="77" t="s">
        <v>61</v>
      </c>
      <c r="J21" s="82"/>
      <c r="K21" s="82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5.75" customHeight="1" spans="1:26" x14ac:dyDescent="0.25">
      <c r="A22" s="90" t="s">
        <v>62</v>
      </c>
      <c r="B22" s="82"/>
      <c r="C22" s="48"/>
      <c r="D22" s="82"/>
      <c r="E22" s="82"/>
      <c r="F22" s="82"/>
      <c r="G22" s="82"/>
      <c r="H22" s="82"/>
      <c r="I22" s="82"/>
      <c r="J22" s="82"/>
      <c r="K22" s="82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5.75" customHeight="1" spans="1:26" x14ac:dyDescent="0.25">
      <c r="A23" s="90"/>
      <c r="B23" s="82"/>
      <c r="C23" s="48"/>
      <c r="D23" s="82"/>
      <c r="E23" s="82"/>
      <c r="F23" s="82"/>
      <c r="G23" s="82"/>
      <c r="H23" s="82"/>
      <c r="I23" s="82"/>
      <c r="J23" s="82"/>
      <c r="K23" s="82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5.75" customHeight="1" x14ac:dyDescent="0.25"/>
    <row r="25" ht="15.75" customHeight="1" x14ac:dyDescent="0.25"/>
    <row r="26" ht="15.75" customHeight="1" spans="1:9" x14ac:dyDescent="0.25">
      <c r="A26" s="77"/>
      <c r="C26" s="77"/>
      <c r="D26" s="77"/>
      <c r="E26" s="77"/>
      <c r="F26" s="77"/>
      <c r="G26" s="77"/>
      <c r="H26" s="77"/>
      <c r="I26" s="77"/>
    </row>
    <row r="27" ht="15.75" customHeight="1" spans="1:9" x14ac:dyDescent="0.25">
      <c r="A27" s="77"/>
      <c r="C27" s="77"/>
      <c r="D27" s="77"/>
      <c r="E27" s="77"/>
      <c r="F27" s="77"/>
      <c r="G27" s="77"/>
      <c r="H27" s="77"/>
      <c r="I27" s="77"/>
    </row>
    <row r="28" ht="15.75" customHeight="1" spans="1:9" x14ac:dyDescent="0.25">
      <c r="A28" s="77" t="str">
        <f>Лист1!A31</f>
        <v>Начальник участка ООО «Резонанс-Энерго» ______________________Борков Е.А</v>
      </c>
      <c r="C28" s="77"/>
      <c r="D28" s="77"/>
      <c r="E28" s="77"/>
      <c r="F28" s="77"/>
      <c r="G28" s="77"/>
      <c r="H28" s="77"/>
      <c r="I28" s="77"/>
    </row>
    <row r="29" ht="15.75" customHeight="1" hidden="1" spans="1:9" x14ac:dyDescent="0.25">
      <c r="A29" s="77"/>
      <c r="C29" s="77"/>
      <c r="D29" s="77"/>
      <c r="E29" s="77"/>
      <c r="F29" s="77"/>
      <c r="G29" s="77"/>
      <c r="H29" s="77"/>
      <c r="I29" s="77"/>
    </row>
    <row r="30" ht="15.75" customHeight="1" spans="1:9" x14ac:dyDescent="0.25">
      <c r="A30" s="77"/>
      <c r="C30" s="77"/>
      <c r="D30" s="77"/>
      <c r="E30" s="77"/>
      <c r="F30" s="77"/>
      <c r="G30" s="77"/>
      <c r="H30" s="77"/>
      <c r="I30" s="77"/>
    </row>
    <row r="31" ht="15.75" customHeight="1" spans="1:9" x14ac:dyDescent="0.25">
      <c r="A31" s="77" t="str">
        <f>Лист1!A32</f>
        <v>Инженер-геодезист ООО «Резонанс-Энерго» ______________________Минаков Н.А.</v>
      </c>
      <c r="C31" s="77"/>
      <c r="D31" s="77"/>
      <c r="E31" s="77"/>
      <c r="F31" s="77"/>
      <c r="G31" s="77"/>
      <c r="H31" s="77"/>
      <c r="I31" s="77"/>
    </row>
    <row r="32" ht="15.75" customHeight="1" spans="1:9" x14ac:dyDescent="0.25">
      <c r="A32" s="77"/>
      <c r="C32" s="77"/>
      <c r="D32" s="77"/>
      <c r="E32" s="77"/>
      <c r="F32" s="77"/>
      <c r="G32" s="77"/>
      <c r="H32" s="77"/>
      <c r="I32" s="77"/>
    </row>
    <row r="33" ht="15.75" customHeight="1" spans="1:8" x14ac:dyDescent="0.25">
      <c r="A33" s="77" t="s">
        <v>63</v>
      </c>
      <c r="B33" s="77"/>
      <c r="C33" s="77"/>
      <c r="D33" s="77"/>
      <c r="E33" s="77"/>
      <c r="F33" s="77"/>
      <c r="G33" s="77"/>
      <c r="H33" s="77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</sheetData>
  <mergeCells count="11">
    <mergeCell ref="C3:K3"/>
    <mergeCell ref="G4:J4"/>
    <mergeCell ref="A5:B5"/>
    <mergeCell ref="G5:K5"/>
    <mergeCell ref="A6:K6"/>
    <mergeCell ref="A7:K7"/>
    <mergeCell ref="A11:E11"/>
    <mergeCell ref="A13:E13"/>
    <mergeCell ref="J14:L14"/>
    <mergeCell ref="F21:H21"/>
    <mergeCell ref="A33:H33"/>
  </mergeCells>
  <pageMargins left="0.25" right="0.25" top="0.75" bottom="0.75" header="0.3" footer="0.3"/>
  <pageSetup paperSize="9" orientation="portrait" horizontalDpi="4294967295" verticalDpi="4294967295" scale="91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72"/>
  <sheetViews>
    <sheetView workbookViewId="0" zoomScale="100" zoomScaleNormal="100" view="pageBreakPreview">
      <selection activeCell="D21" sqref="D21"/>
    </sheetView>
  </sheetViews>
  <sheetFormatPr defaultRowHeight="13.8" outlineLevelRow="0" outlineLevelCol="0" x14ac:dyDescent="0" defaultColWidth="9.109375" customHeight="1"/>
  <cols>
    <col min="1" max="1" width="4.109375" style="48" customWidth="1"/>
    <col min="2" max="2" width="13.6640625" style="48" customWidth="1"/>
    <col min="3" max="3" width="16.5546875" style="48" customWidth="1"/>
    <col min="4" max="4" width="20" style="48" customWidth="1"/>
    <col min="5" max="5" width="8" style="48" customWidth="1"/>
    <col min="6" max="6" width="8.5546875" style="48" customWidth="1"/>
    <col min="7" max="7" width="10.88671875" style="48" customWidth="1"/>
    <col min="8" max="9" width="9.33203125" style="48" customWidth="1"/>
    <col min="10" max="10" width="8.44140625" style="48" customWidth="1"/>
    <col min="11" max="11" width="14.88671875" style="48" customWidth="1"/>
    <col min="12" max="12" width="0.33203125" style="48" customWidth="1"/>
    <col min="13" max="16384" width="9.109375" style="48" customWidth="1"/>
  </cols>
  <sheetData>
    <row r="1" spans="2:11" x14ac:dyDescent="0.25">
      <c r="B1" s="69" t="s">
        <v>46</v>
      </c>
      <c r="C1" s="70" t="str">
        <f>Лист1!A35</f>
        <v>ГКУ «УДМС»</v>
      </c>
      <c r="D1" s="70"/>
      <c r="E1" s="70"/>
      <c r="F1" s="70"/>
      <c r="G1" s="71"/>
      <c r="H1" s="70"/>
      <c r="I1" s="70"/>
      <c r="J1" s="70"/>
      <c r="K1" s="70"/>
    </row>
    <row r="2" spans="2:11" x14ac:dyDescent="0.25">
      <c r="B2" s="69" t="s">
        <v>64</v>
      </c>
      <c r="C2" s="70" t="str">
        <f>Лист1!A36</f>
        <v>ООО «Резонанс-Энерго»</v>
      </c>
      <c r="D2" s="70"/>
      <c r="E2" s="70"/>
      <c r="F2" s="70"/>
      <c r="G2" s="71"/>
      <c r="H2" s="70"/>
      <c r="I2" s="70"/>
      <c r="J2" s="70"/>
      <c r="K2" s="70"/>
    </row>
    <row r="3" ht="39.75" customHeight="1" spans="2:11" x14ac:dyDescent="0.25">
      <c r="B3" s="72" t="s">
        <v>48</v>
      </c>
      <c r="C3" s="73" t="str">
        <f>Лист1!A4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73"/>
      <c r="E3" s="73"/>
      <c r="F3" s="73"/>
      <c r="G3" s="73"/>
      <c r="H3" s="73"/>
      <c r="I3" s="73"/>
      <c r="J3" s="73"/>
      <c r="K3" s="73"/>
    </row>
    <row r="4" spans="2:11" x14ac:dyDescent="0.25">
      <c r="B4" s="72" t="s">
        <v>49</v>
      </c>
      <c r="C4" s="74" t="str">
        <f>Лист1!A25</f>
        <v>03.06.2024 г.</v>
      </c>
      <c r="G4" s="75"/>
      <c r="H4" s="75"/>
      <c r="I4" s="75"/>
      <c r="J4" s="75"/>
      <c r="K4" s="76"/>
    </row>
    <row r="5" ht="9.75" customHeight="1" spans="1:19" x14ac:dyDescent="0.25">
      <c r="A5" s="77"/>
      <c r="B5" s="77"/>
      <c r="G5" s="78"/>
      <c r="H5" s="78"/>
      <c r="I5" s="78"/>
      <c r="J5" s="78"/>
      <c r="K5" s="78"/>
      <c r="O5" s="79"/>
      <c r="P5" s="79"/>
      <c r="Q5" s="79"/>
      <c r="R5" s="79"/>
      <c r="S5" s="79"/>
    </row>
    <row r="6" spans="1:11" x14ac:dyDescent="0.25">
      <c r="A6" s="80" t="s">
        <v>50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spans="1:26" x14ac:dyDescent="0.25">
      <c r="A7" s="80" t="s">
        <v>80</v>
      </c>
      <c r="B7" s="80"/>
      <c r="C7" s="80"/>
      <c r="D7" s="80"/>
      <c r="E7" s="80"/>
      <c r="F7" s="80"/>
      <c r="G7" s="80"/>
      <c r="H7" s="80"/>
      <c r="I7" s="80"/>
      <c r="J7" s="80"/>
      <c r="K7" s="80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x14ac:dyDescent="0.25">
      <c r="A9" s="79" t="s">
        <v>52</v>
      </c>
      <c r="B9" s="79"/>
      <c r="C9" s="79"/>
      <c r="D9" s="80"/>
      <c r="E9" s="80"/>
      <c r="F9" s="80"/>
      <c r="G9" s="80"/>
      <c r="H9" s="80"/>
      <c r="I9" s="80"/>
      <c r="J9" s="80"/>
      <c r="K9" s="80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x14ac:dyDescent="0.25">
      <c r="A10" s="48"/>
      <c r="B10" s="48"/>
      <c r="C10" s="48"/>
      <c r="D10" s="77"/>
      <c r="E10" s="77"/>
      <c r="F10" s="77"/>
      <c r="G10" s="77"/>
      <c r="H10" s="77"/>
      <c r="I10" s="77"/>
      <c r="J10" s="77"/>
      <c r="K10" s="77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x14ac:dyDescent="0.25">
      <c r="A11" s="48" t="str">
        <f>Лист1!A9</f>
        <v>Представитель ЮРЭС АО "ОЭК" </v>
      </c>
      <c r="B11" s="83"/>
      <c r="D11" s="48"/>
      <c r="E11" s="48"/>
      <c r="F11" s="48"/>
      <c r="G11" s="48"/>
      <c r="H11" s="48"/>
      <c r="I11" s="48"/>
      <c r="J11" s="48"/>
      <c r="K11" s="48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x14ac:dyDescent="0.25">
      <c r="A12" s="77" t="str">
        <f>Лист1!A10</f>
        <v>Начальник участка ООО «Резонанс-Энерго» Борков Е.А</v>
      </c>
      <c r="B12" s="83"/>
      <c r="D12" s="77"/>
      <c r="E12" s="77"/>
      <c r="F12" s="77"/>
      <c r="G12" s="77"/>
      <c r="H12" s="77"/>
      <c r="I12" s="77"/>
      <c r="J12" s="77"/>
      <c r="K12" s="77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x14ac:dyDescent="0.25">
      <c r="A13" s="80"/>
      <c r="B13" s="80"/>
      <c r="C13" s="48"/>
      <c r="D13" s="80"/>
      <c r="E13" s="80"/>
      <c r="F13" s="80"/>
      <c r="G13" s="80"/>
      <c r="H13" s="80"/>
      <c r="I13" s="80"/>
      <c r="J13" s="80"/>
      <c r="K13" s="80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4.4" customHeight="1" spans="1:26" x14ac:dyDescent="0.25">
      <c r="A14" s="48" t="s">
        <v>81</v>
      </c>
      <c r="B14" s="82"/>
      <c r="C14" s="48"/>
      <c r="D14" s="82"/>
      <c r="E14" s="84"/>
      <c r="F14" s="84"/>
      <c r="G14" s="84"/>
      <c r="H14" s="84"/>
      <c r="I14" s="84"/>
      <c r="J14" s="84"/>
      <c r="K14" s="48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4.4" customHeight="1" spans="1:26" x14ac:dyDescent="0.25">
      <c r="A15" s="85" t="str">
        <f>Лист1!A13</f>
        <v>ГНБ № 10-1С</v>
      </c>
      <c r="B15" s="85"/>
      <c r="C15" s="85"/>
      <c r="D15" s="82" t="s">
        <v>82</v>
      </c>
      <c r="E15" s="82"/>
      <c r="F15" s="87" t="str">
        <f>Лист1!A6</f>
        <v>По адресу: г. Москва, ул. Кантемировская, д.60</v>
      </c>
      <c r="G15" s="87"/>
      <c r="H15" s="87"/>
      <c r="I15" s="87"/>
      <c r="J15" s="88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x14ac:dyDescent="0.25">
      <c r="A16" s="77"/>
      <c r="B16" s="80"/>
      <c r="C16" s="48"/>
      <c r="D16" s="80"/>
      <c r="E16" s="80"/>
      <c r="F16" s="80"/>
      <c r="G16" s="80"/>
      <c r="H16" s="80"/>
      <c r="I16" s="80"/>
      <c r="J16" s="80"/>
      <c r="K16" s="80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x14ac:dyDescent="0.25">
      <c r="A17" s="89" t="s">
        <v>83</v>
      </c>
      <c r="B17" s="82"/>
      <c r="C17" s="48"/>
      <c r="D17" s="82"/>
      <c r="E17" s="82"/>
      <c r="F17" s="82"/>
      <c r="G17" s="82"/>
      <c r="H17" s="82"/>
      <c r="I17" s="82"/>
      <c r="J17" s="82"/>
      <c r="K17" s="82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4.4" customHeight="1" spans="1:26" x14ac:dyDescent="0.25">
      <c r="A18" s="91" t="s">
        <v>84</v>
      </c>
      <c r="B18" s="89" t="s">
        <v>85</v>
      </c>
      <c r="C18" s="48"/>
      <c r="D18" s="92" t="str">
        <f>Лист1!A43</f>
        <v>ГНБ № 10-1С</v>
      </c>
      <c r="E18" s="92" t="s">
        <v>86</v>
      </c>
      <c r="F18" s="85">
        <f>Лист1!B43</f>
        <v>40.81</v>
      </c>
      <c r="G18" s="92" t="s">
        <v>87</v>
      </c>
      <c r="H18" s="85">
        <f>Лист1!C43</f>
        <v>42.96</v>
      </c>
      <c r="I18" s="93"/>
      <c r="J18" s="82"/>
      <c r="K18" s="82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x14ac:dyDescent="0.25">
      <c r="A19" s="91">
        <v>2</v>
      </c>
      <c r="B19" s="89" t="s">
        <v>88</v>
      </c>
      <c r="C19" s="48"/>
      <c r="D19" s="92" t="str">
        <f>Лист1!A43</f>
        <v>ГНБ № 10-1С</v>
      </c>
      <c r="E19" s="97">
        <f>Лист1!D43</f>
        <v>2</v>
      </c>
      <c r="F19" s="97"/>
      <c r="G19" s="92"/>
      <c r="H19" s="82"/>
      <c r="I19" s="82"/>
      <c r="J19" s="82"/>
      <c r="K19" s="82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x14ac:dyDescent="0.25">
      <c r="A20" s="91">
        <v>3</v>
      </c>
      <c r="B20" s="89" t="s">
        <v>89</v>
      </c>
      <c r="C20" s="48"/>
      <c r="D20" s="92" t="str">
        <f>Лист1!A43</f>
        <v>ГНБ № 10-1С</v>
      </c>
      <c r="E20" s="97">
        <f>Лист1!E43</f>
        <v>85.92</v>
      </c>
      <c r="F20" s="97"/>
      <c r="G20" s="92"/>
      <c r="H20" s="92"/>
      <c r="I20" s="92"/>
      <c r="J20" s="82"/>
      <c r="K20" s="82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29.25" customHeight="1" spans="1:26" x14ac:dyDescent="0.25">
      <c r="A21" s="91">
        <v>4</v>
      </c>
      <c r="B21" s="89" t="s">
        <v>90</v>
      </c>
      <c r="D21" s="98" t="str">
        <f>Лист1!A39</f>
        <v>Труба "ПЭ тип "С" 110*6,3 техническая (L012) (паспорт  качества от 23.08.2021г.)</v>
      </c>
      <c r="E21" s="98"/>
      <c r="F21" s="98"/>
      <c r="G21" s="98"/>
      <c r="H21" s="98"/>
      <c r="I21" s="98"/>
      <c r="J21" s="82"/>
      <c r="K21" s="82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x14ac:dyDescent="0.25">
      <c r="A22" s="91">
        <v>5</v>
      </c>
      <c r="B22" s="89" t="s">
        <v>91</v>
      </c>
      <c r="C22" s="48"/>
      <c r="D22" s="82"/>
      <c r="E22" s="82"/>
      <c r="F22" s="82"/>
      <c r="G22" s="82"/>
      <c r="H22" s="82"/>
      <c r="I22" s="82"/>
      <c r="J22" s="82"/>
      <c r="K22" s="82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x14ac:dyDescent="0.25">
      <c r="A23" s="91">
        <v>6</v>
      </c>
      <c r="B23" s="89" t="s">
        <v>92</v>
      </c>
      <c r="C23" s="48"/>
      <c r="D23" s="82"/>
      <c r="E23" s="82"/>
      <c r="F23" s="82"/>
      <c r="G23" s="82"/>
      <c r="H23" s="82"/>
      <c r="I23" s="82"/>
      <c r="J23" s="82"/>
      <c r="K23" s="82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x14ac:dyDescent="0.25">
      <c r="A24" s="91">
        <v>7</v>
      </c>
      <c r="B24" s="89" t="s">
        <v>93</v>
      </c>
      <c r="C24" s="48"/>
      <c r="D24" s="82"/>
      <c r="E24" s="82"/>
      <c r="F24" s="82"/>
      <c r="G24" s="82"/>
      <c r="H24" s="82"/>
      <c r="I24" s="82"/>
      <c r="J24" s="82"/>
      <c r="K24" s="82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x14ac:dyDescent="0.25">
      <c r="A25" s="91"/>
      <c r="B25" s="89"/>
      <c r="C25" s="48"/>
      <c r="D25" s="82"/>
      <c r="E25" s="82"/>
      <c r="F25" s="82"/>
      <c r="G25" s="82"/>
      <c r="H25" s="82"/>
      <c r="I25" s="82"/>
      <c r="J25" s="82"/>
      <c r="K25" s="82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4.4" customHeight="1" spans="1:26" x14ac:dyDescent="0.25">
      <c r="A26" s="91" t="s">
        <v>94</v>
      </c>
      <c r="B26" s="89"/>
      <c r="C26" s="48"/>
      <c r="D26" s="82"/>
      <c r="E26" s="85" t="str">
        <f>Лист1!A13</f>
        <v>ГНБ № 10-1С</v>
      </c>
      <c r="F26" s="85"/>
      <c r="G26" s="85"/>
      <c r="H26" s="89" t="s">
        <v>95</v>
      </c>
      <c r="I26" s="82"/>
      <c r="J26" s="82"/>
      <c r="K26" s="82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4.4" customHeight="1" spans="1:26" x14ac:dyDescent="0.25">
      <c r="A27" s="91" t="s">
        <v>96</v>
      </c>
      <c r="B27" s="89"/>
      <c r="C27" s="48"/>
      <c r="D27" s="82"/>
      <c r="E27" s="93"/>
      <c r="F27" s="93"/>
      <c r="G27" s="93"/>
      <c r="H27" s="89"/>
      <c r="I27" s="82"/>
      <c r="J27" s="82"/>
      <c r="K27" s="82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4.4" customHeight="1" spans="1:26" x14ac:dyDescent="0.25">
      <c r="A28" s="91"/>
      <c r="B28" s="89"/>
      <c r="C28" s="48"/>
      <c r="D28" s="82"/>
      <c r="E28" s="93"/>
      <c r="F28" s="93"/>
      <c r="G28" s="93"/>
      <c r="H28" s="89"/>
      <c r="I28" s="82"/>
      <c r="J28" s="82"/>
      <c r="K28" s="82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x14ac:dyDescent="0.25">
      <c r="A29" s="91"/>
      <c r="B29" s="89"/>
      <c r="C29" s="48"/>
      <c r="D29" s="82"/>
      <c r="E29" s="82"/>
      <c r="F29" s="82"/>
      <c r="G29" s="82"/>
      <c r="H29" s="82"/>
      <c r="I29" s="82"/>
      <c r="J29" s="82"/>
      <c r="K29" s="82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2" spans="1:9" x14ac:dyDescent="0.25">
      <c r="A32" s="77" t="str">
        <f>Лист1!A30</f>
        <v>Представитель Южного РЭС АО "ОЭК" ____________________</v>
      </c>
      <c r="C32" s="77"/>
      <c r="D32" s="77"/>
      <c r="E32" s="77"/>
      <c r="F32" s="77"/>
      <c r="G32" s="77"/>
      <c r="H32" s="77"/>
      <c r="I32" s="77"/>
    </row>
    <row r="33" spans="1:9" x14ac:dyDescent="0.25">
      <c r="A33" s="77"/>
      <c r="C33" s="77"/>
      <c r="D33" s="77"/>
      <c r="E33" s="77"/>
      <c r="F33" s="77"/>
      <c r="G33" s="77"/>
      <c r="H33" s="77"/>
      <c r="I33" s="77"/>
    </row>
    <row r="34" spans="1:9" x14ac:dyDescent="0.25">
      <c r="A34" s="77" t="str">
        <f>Лист1!A31</f>
        <v>Начальник участка ООО «Резонанс-Энерго» ______________________Борков Е.А</v>
      </c>
      <c r="C34" s="77"/>
      <c r="D34" s="77"/>
      <c r="E34" s="77"/>
      <c r="F34" s="77"/>
      <c r="G34" s="77"/>
      <c r="H34" s="77"/>
      <c r="I34" s="77"/>
    </row>
    <row r="35" spans="1:9" x14ac:dyDescent="0.25">
      <c r="A35" s="77"/>
      <c r="C35" s="77"/>
      <c r="D35" s="77"/>
      <c r="E35" s="77"/>
      <c r="F35" s="77"/>
      <c r="G35" s="77"/>
      <c r="H35" s="77"/>
      <c r="I35" s="77"/>
    </row>
    <row r="36" spans="1:9" x14ac:dyDescent="0.25">
      <c r="A36" s="77"/>
      <c r="C36" s="77"/>
      <c r="D36" s="77"/>
      <c r="E36" s="77"/>
      <c r="F36" s="77"/>
      <c r="G36" s="77"/>
      <c r="H36" s="77"/>
      <c r="I36" s="77"/>
    </row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</sheetData>
  <mergeCells count="14">
    <mergeCell ref="C3:K3"/>
    <mergeCell ref="G4:J4"/>
    <mergeCell ref="A5:B5"/>
    <mergeCell ref="G5:K5"/>
    <mergeCell ref="A6:K6"/>
    <mergeCell ref="A7:K7"/>
    <mergeCell ref="A15:C15"/>
    <mergeCell ref="D15:E15"/>
    <mergeCell ref="E19:F19"/>
    <mergeCell ref="H19:I19"/>
    <mergeCell ref="E20:F20"/>
    <mergeCell ref="H20:I20"/>
    <mergeCell ref="D21:I21"/>
    <mergeCell ref="E26:G26"/>
  </mergeCells>
  <pageMargins left="0.25" right="0.25" top="0.75" bottom="0.75" header="0.3" footer="0.3"/>
  <pageSetup paperSize="9" orientation="portrait" horizontalDpi="4294967295" verticalDpi="4294967295" scale="81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73"/>
  <sheetViews>
    <sheetView workbookViewId="0" zoomScale="85" zoomScaleNormal="100" view="pageBreakPreview">
      <selection activeCell="A35" sqref="A35"/>
    </sheetView>
  </sheetViews>
  <sheetFormatPr defaultRowHeight="13.8" outlineLevelRow="0" outlineLevelCol="0" x14ac:dyDescent="0" defaultColWidth="9.109375" customHeight="1"/>
  <cols>
    <col min="1" max="1" width="4.109375" style="48" customWidth="1"/>
    <col min="2" max="2" width="13.6640625" style="48" customWidth="1"/>
    <col min="3" max="3" width="16.5546875" style="48" customWidth="1"/>
    <col min="4" max="4" width="10.88671875" style="48" customWidth="1"/>
    <col min="5" max="5" width="6.44140625" style="48" customWidth="1"/>
    <col min="6" max="6" width="8.5546875" style="48" customWidth="1"/>
    <col min="7" max="7" width="10.88671875" style="48" customWidth="1"/>
    <col min="8" max="9" width="9.33203125" style="48" customWidth="1"/>
    <col min="10" max="10" width="8.44140625" style="48" customWidth="1"/>
    <col min="11" max="11" width="13" style="48" customWidth="1"/>
    <col min="12" max="12" width="0.33203125" style="48" customWidth="1"/>
    <col min="13" max="16384" width="9.109375" style="48" customWidth="1"/>
  </cols>
  <sheetData>
    <row r="1" spans="2:11" x14ac:dyDescent="0.25">
      <c r="B1" s="69" t="s">
        <v>46</v>
      </c>
      <c r="C1" s="70" t="str">
        <f>Лист1!A35</f>
        <v>ГКУ «УДМС»</v>
      </c>
      <c r="D1" s="70"/>
      <c r="E1" s="70"/>
      <c r="F1" s="70"/>
      <c r="G1" s="71"/>
      <c r="H1" s="70"/>
      <c r="I1" s="70"/>
      <c r="J1" s="70"/>
      <c r="K1" s="70"/>
    </row>
    <row r="2" spans="2:11" x14ac:dyDescent="0.25">
      <c r="B2" s="69" t="s">
        <v>64</v>
      </c>
      <c r="C2" s="70" t="str">
        <f>Лист1!A36</f>
        <v>ООО «Резонанс-Энерго»</v>
      </c>
      <c r="D2" s="70"/>
      <c r="E2" s="70"/>
      <c r="F2" s="70"/>
      <c r="G2" s="71"/>
      <c r="H2" s="70"/>
      <c r="I2" s="70"/>
      <c r="J2" s="70"/>
      <c r="K2" s="70"/>
    </row>
    <row r="3" ht="39" customHeight="1" spans="2:11" s="108" customFormat="1" x14ac:dyDescent="0.25">
      <c r="B3" s="72" t="s">
        <v>48</v>
      </c>
      <c r="C3" s="73" t="str">
        <f>Лист1!A4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73"/>
      <c r="E3" s="73"/>
      <c r="F3" s="73"/>
      <c r="G3" s="73"/>
      <c r="H3" s="73"/>
      <c r="I3" s="73"/>
      <c r="J3" s="73"/>
      <c r="K3" s="73"/>
    </row>
    <row r="4" spans="2:11" x14ac:dyDescent="0.25">
      <c r="B4" s="72" t="s">
        <v>49</v>
      </c>
      <c r="C4" s="74" t="str">
        <f>Лист1!A25</f>
        <v>03.06.2024 г.</v>
      </c>
      <c r="G4" s="75"/>
      <c r="H4" s="75"/>
      <c r="I4" s="75"/>
      <c r="J4" s="75"/>
      <c r="K4" s="76"/>
    </row>
    <row r="5" ht="9.75" customHeight="1" spans="1:19" x14ac:dyDescent="0.25">
      <c r="A5" s="77"/>
      <c r="B5" s="77"/>
      <c r="G5" s="78"/>
      <c r="H5" s="78"/>
      <c r="I5" s="78"/>
      <c r="J5" s="78"/>
      <c r="K5" s="78"/>
      <c r="O5" s="79"/>
      <c r="P5" s="79"/>
      <c r="Q5" s="79"/>
      <c r="R5" s="79"/>
      <c r="S5" s="79"/>
    </row>
    <row r="6" ht="15.75" customHeight="1" spans="1:11" x14ac:dyDescent="0.25">
      <c r="A6" s="80" t="s">
        <v>50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ht="15.75" customHeight="1" spans="1:26" x14ac:dyDescent="0.25">
      <c r="A7" s="80" t="s">
        <v>107</v>
      </c>
      <c r="B7" s="80"/>
      <c r="C7" s="80"/>
      <c r="D7" s="80"/>
      <c r="E7" s="80"/>
      <c r="F7" s="80"/>
      <c r="G7" s="80"/>
      <c r="H7" s="80"/>
      <c r="I7" s="80"/>
      <c r="J7" s="80"/>
      <c r="K7" s="80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1.25" customHeight="1" spans="1:26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 spans="1:26" x14ac:dyDescent="0.25">
      <c r="A9" s="79" t="s">
        <v>52</v>
      </c>
      <c r="B9" s="79"/>
      <c r="C9" s="79"/>
      <c r="D9" s="80"/>
      <c r="E9" s="80"/>
      <c r="F9" s="80"/>
      <c r="G9" s="80"/>
      <c r="H9" s="80"/>
      <c r="I9" s="80"/>
      <c r="J9" s="80"/>
      <c r="K9" s="80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5.75" customHeight="1" spans="1:26" x14ac:dyDescent="0.25">
      <c r="A10" s="48"/>
      <c r="B10" s="48"/>
      <c r="C10" s="48"/>
      <c r="D10" s="77"/>
      <c r="E10" s="77"/>
      <c r="F10" s="77"/>
      <c r="G10" s="77"/>
      <c r="H10" s="77"/>
      <c r="I10" s="77"/>
      <c r="J10" s="77"/>
      <c r="K10" s="77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8" customHeight="1" spans="1:26" x14ac:dyDescent="0.25">
      <c r="A11" s="48" t="str">
        <f>Лист1!A9</f>
        <v>Представитель ЮРЭС АО "ОЭК" </v>
      </c>
      <c r="B11" s="83"/>
      <c r="D11" s="48"/>
      <c r="E11" s="48"/>
      <c r="F11" s="48"/>
      <c r="G11" s="48"/>
      <c r="H11" s="48"/>
      <c r="I11" s="48"/>
      <c r="J11" s="48"/>
      <c r="K11" s="48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5.75" customHeight="1" spans="1:26" x14ac:dyDescent="0.25">
      <c r="A12" s="77" t="str">
        <f>Лист1!A10</f>
        <v>Начальник участка ООО «Резонанс-Энерго» Борков Е.А</v>
      </c>
      <c r="B12" s="83"/>
      <c r="D12" s="77"/>
      <c r="E12" s="77"/>
      <c r="F12" s="77"/>
      <c r="G12" s="77"/>
      <c r="H12" s="77"/>
      <c r="I12" s="77"/>
      <c r="J12" s="77"/>
      <c r="K12" s="77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5.75" customHeight="1" spans="1:26" x14ac:dyDescent="0.25">
      <c r="A13" s="80"/>
      <c r="B13" s="80"/>
      <c r="C13" s="48"/>
      <c r="D13" s="80"/>
      <c r="E13" s="80"/>
      <c r="F13" s="80"/>
      <c r="G13" s="80"/>
      <c r="H13" s="80"/>
      <c r="I13" s="80"/>
      <c r="J13" s="80"/>
      <c r="K13" s="80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5.75" customHeight="1" spans="1:26" x14ac:dyDescent="0.25">
      <c r="A14" s="79" t="s">
        <v>66</v>
      </c>
      <c r="B14" s="82"/>
      <c r="C14" s="48"/>
      <c r="D14" s="82"/>
      <c r="E14" s="85" t="str">
        <f>Лист1!A23</f>
        <v>ООО «Резонанс-Энерго»</v>
      </c>
      <c r="F14" s="85"/>
      <c r="G14" s="85"/>
      <c r="H14" s="84"/>
      <c r="I14" s="84"/>
      <c r="J14" s="84"/>
      <c r="K14" s="48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5.75" customHeight="1" spans="1:26" x14ac:dyDescent="0.25">
      <c r="A15" s="84" t="s">
        <v>67</v>
      </c>
      <c r="B15" s="84"/>
      <c r="C15" s="84"/>
      <c r="D15" s="48"/>
      <c r="E15" s="48"/>
      <c r="F15" s="84"/>
      <c r="G15" s="84"/>
      <c r="H15" s="84"/>
      <c r="I15" s="84"/>
      <c r="J15" s="48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5.75" customHeight="1" spans="1:26" x14ac:dyDescent="0.25">
      <c r="A16" s="77" t="s">
        <v>68</v>
      </c>
      <c r="B16" s="82"/>
      <c r="C16" s="48"/>
      <c r="D16" s="80"/>
      <c r="E16" s="80"/>
      <c r="F16" s="80"/>
      <c r="G16" s="80"/>
      <c r="H16" s="80"/>
      <c r="I16" s="80"/>
      <c r="J16" s="80"/>
      <c r="K16" s="80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5.75" customHeight="1" spans="1:26" x14ac:dyDescent="0.25">
      <c r="A17" s="77" t="s">
        <v>108</v>
      </c>
      <c r="B17" s="82"/>
      <c r="C17" s="48"/>
      <c r="D17" s="85" t="str">
        <f>Лист1!A13</f>
        <v>ГНБ № 10-1С</v>
      </c>
      <c r="E17" s="85"/>
      <c r="F17" s="85"/>
      <c r="G17" s="77" t="s">
        <v>82</v>
      </c>
      <c r="H17" s="82"/>
      <c r="I17" s="82"/>
      <c r="J17" s="82"/>
      <c r="K17" s="82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5.75" customHeight="1" spans="1:26" x14ac:dyDescent="0.25">
      <c r="A18" s="86" t="str">
        <f>Лист1!A6</f>
        <v>По адресу: г. Москва, ул. Кантемировская, д.60</v>
      </c>
      <c r="B18" s="109"/>
      <c r="C18" s="88"/>
      <c r="D18" s="97"/>
      <c r="E18" s="97"/>
      <c r="F18" s="85"/>
      <c r="G18" s="97"/>
      <c r="H18" s="92"/>
      <c r="I18" s="93"/>
      <c r="J18" s="82"/>
      <c r="K18" s="82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5.75" customHeight="1" spans="1:26" x14ac:dyDescent="0.25">
      <c r="A19" s="110"/>
      <c r="B19" s="89"/>
      <c r="C19" s="48"/>
      <c r="D19" s="92"/>
      <c r="E19" s="92"/>
      <c r="F19" s="93"/>
      <c r="G19" s="92"/>
      <c r="H19" s="92"/>
      <c r="I19" s="93"/>
      <c r="J19" s="82"/>
      <c r="K19" s="82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5.75" customHeight="1" spans="1:26" x14ac:dyDescent="0.25">
      <c r="A20" s="94" t="s">
        <v>72</v>
      </c>
      <c r="B20" s="77"/>
      <c r="C20" s="48"/>
      <c r="D20" s="85" t="str">
        <f>Лист1!A17</f>
        <v>АО "МОСИНЖПРОЕКТ"</v>
      </c>
      <c r="E20" s="85"/>
      <c r="F20" s="85"/>
      <c r="G20" s="92" t="s">
        <v>73</v>
      </c>
      <c r="H20" s="87" t="str">
        <f>Лист1!A15</f>
        <v>ИМ-19-4-Р-3.2Э-ЗП2</v>
      </c>
      <c r="I20" s="87"/>
      <c r="J20" s="87"/>
      <c r="K20" s="82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5.75" customHeight="1" spans="1:26" x14ac:dyDescent="0.25">
      <c r="A21" s="91"/>
      <c r="B21" s="89"/>
      <c r="C21" s="48"/>
      <c r="D21" s="92"/>
      <c r="E21" s="70"/>
      <c r="F21" s="70"/>
      <c r="G21" s="92"/>
      <c r="H21" s="48"/>
      <c r="I21" s="48"/>
      <c r="J21" s="82"/>
      <c r="K21" s="82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5.75" customHeight="1" spans="1:26" x14ac:dyDescent="0.25">
      <c r="A22" s="94" t="s">
        <v>109</v>
      </c>
      <c r="B22" s="89"/>
      <c r="C22" s="48"/>
      <c r="D22" s="95" t="str">
        <f>Лист1!A19</f>
        <v>01.06.2024 г.</v>
      </c>
      <c r="E22" s="95"/>
      <c r="F22" s="95"/>
      <c r="G22" s="92"/>
      <c r="H22" s="70"/>
      <c r="I22" s="70"/>
      <c r="J22" s="82"/>
      <c r="K22" s="82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5.75" customHeight="1" spans="1:26" x14ac:dyDescent="0.25">
      <c r="A23" s="91"/>
      <c r="B23" s="89"/>
      <c r="C23" s="48"/>
      <c r="D23" s="70"/>
      <c r="E23" s="82"/>
      <c r="F23" s="82"/>
      <c r="G23" s="82"/>
      <c r="H23" s="82"/>
      <c r="I23" s="82"/>
      <c r="J23" s="82"/>
      <c r="K23" s="82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5.75" customHeight="1" spans="1:26" x14ac:dyDescent="0.25">
      <c r="A24" s="94" t="s">
        <v>110</v>
      </c>
      <c r="B24" s="89"/>
      <c r="C24" s="48"/>
      <c r="D24" s="95" t="str">
        <f>Лист1!A21</f>
        <v>03.06.2024 г.</v>
      </c>
      <c r="E24" s="95"/>
      <c r="F24" s="95"/>
      <c r="G24" s="82"/>
      <c r="H24" s="82"/>
      <c r="I24" s="82"/>
      <c r="J24" s="82"/>
      <c r="K24" s="82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5.75" customHeight="1" spans="1:26" x14ac:dyDescent="0.25">
      <c r="A25" s="91"/>
      <c r="B25" s="89"/>
      <c r="C25" s="48"/>
      <c r="D25" s="82"/>
      <c r="E25" s="82"/>
      <c r="F25" s="82"/>
      <c r="G25" s="82"/>
      <c r="H25" s="82"/>
      <c r="I25" s="82"/>
      <c r="J25" s="82"/>
      <c r="K25" s="82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5.75" customHeight="1" spans="1:26" x14ac:dyDescent="0.25">
      <c r="A26" s="80" t="s">
        <v>77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5.75" customHeight="1" spans="1:26" x14ac:dyDescent="0.25">
      <c r="A27" s="94" t="s">
        <v>78</v>
      </c>
      <c r="B27" s="89"/>
      <c r="C27" s="48"/>
      <c r="D27" s="82"/>
      <c r="E27" s="82"/>
      <c r="F27" s="82"/>
      <c r="G27" s="82"/>
      <c r="H27" s="82"/>
      <c r="I27" s="82"/>
      <c r="J27" s="82"/>
      <c r="K27" s="82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5.75" customHeight="1" spans="1:26" x14ac:dyDescent="0.25">
      <c r="A28" s="94" t="s">
        <v>106</v>
      </c>
      <c r="B28" s="89"/>
      <c r="C28" s="48"/>
      <c r="D28" s="82"/>
      <c r="E28" s="84"/>
      <c r="F28" s="84"/>
      <c r="G28" s="84"/>
      <c r="H28" s="89"/>
      <c r="I28" s="82"/>
      <c r="J28" s="82"/>
      <c r="K28" s="82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5.75" customHeight="1" spans="1:26" x14ac:dyDescent="0.25">
      <c r="A29" s="91"/>
      <c r="B29" s="89"/>
      <c r="C29" s="48"/>
      <c r="D29" s="82"/>
      <c r="E29" s="93"/>
      <c r="F29" s="93"/>
      <c r="G29" s="93"/>
      <c r="H29" s="89"/>
      <c r="I29" s="82"/>
      <c r="J29" s="82"/>
      <c r="K29" s="82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5.75" customHeight="1" spans="1:26" x14ac:dyDescent="0.25">
      <c r="A30" s="91"/>
      <c r="B30" s="89"/>
      <c r="C30" s="48"/>
      <c r="D30" s="82"/>
      <c r="E30" s="82"/>
      <c r="F30" s="82"/>
      <c r="G30" s="82"/>
      <c r="H30" s="82"/>
      <c r="I30" s="82"/>
      <c r="J30" s="82"/>
      <c r="K30" s="82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5.75" customHeight="1" x14ac:dyDescent="0.25"/>
    <row r="32" ht="15.75" customHeight="1" x14ac:dyDescent="0.25"/>
    <row r="33" ht="15.75" customHeight="1" spans="1:9" x14ac:dyDescent="0.25">
      <c r="A33" s="77" t="str">
        <f>Лист1!A30</f>
        <v>Представитель Южного РЭС АО "ОЭК" ____________________</v>
      </c>
      <c r="C33" s="77"/>
      <c r="D33" s="111"/>
      <c r="E33" s="111"/>
      <c r="F33" s="111"/>
      <c r="G33" s="77"/>
      <c r="H33" s="77"/>
      <c r="I33" s="77"/>
    </row>
    <row r="34" ht="15.75" customHeight="1" spans="1:9" x14ac:dyDescent="0.25">
      <c r="A34" s="77"/>
      <c r="C34" s="77"/>
      <c r="D34" s="77"/>
      <c r="E34" s="77"/>
      <c r="F34" s="77"/>
      <c r="G34" s="77"/>
      <c r="H34" s="77"/>
      <c r="I34" s="77"/>
    </row>
    <row r="35" ht="15.75" customHeight="1" spans="1:9" x14ac:dyDescent="0.25">
      <c r="A35" s="77" t="str">
        <f>Лист1!A31</f>
        <v>Начальник участка ООО «Резонанс-Энерго» ______________________Борков Е.А</v>
      </c>
      <c r="C35" s="77"/>
      <c r="D35" s="77"/>
      <c r="E35" s="112"/>
      <c r="F35" s="112"/>
      <c r="G35" s="112"/>
      <c r="H35" s="77"/>
      <c r="I35" s="77"/>
    </row>
    <row r="36" ht="15.75" customHeight="1" hidden="1" spans="1:9" x14ac:dyDescent="0.25">
      <c r="A36" s="77"/>
      <c r="C36" s="77"/>
      <c r="D36" s="77"/>
      <c r="E36" s="77"/>
      <c r="F36" s="77"/>
      <c r="G36" s="77"/>
      <c r="H36" s="77"/>
      <c r="I36" s="77"/>
    </row>
    <row r="37" ht="15.75" customHeight="1" spans="1:9" x14ac:dyDescent="0.25">
      <c r="A37" s="77"/>
      <c r="C37" s="77"/>
      <c r="D37" s="77"/>
      <c r="E37" s="77"/>
      <c r="F37" s="77"/>
      <c r="G37" s="77"/>
      <c r="H37" s="77"/>
      <c r="I37" s="77"/>
    </row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</sheetData>
  <mergeCells count="12">
    <mergeCell ref="C3:K3"/>
    <mergeCell ref="G4:J4"/>
    <mergeCell ref="A5:B5"/>
    <mergeCell ref="G5:K5"/>
    <mergeCell ref="A6:K6"/>
    <mergeCell ref="A7:K7"/>
    <mergeCell ref="E14:G14"/>
    <mergeCell ref="D17:F17"/>
    <mergeCell ref="D20:F20"/>
    <mergeCell ref="D22:F22"/>
    <mergeCell ref="D24:F24"/>
    <mergeCell ref="A26:K26"/>
  </mergeCells>
  <pageMargins left="0.25" right="0.25" top="0.75" bottom="0.75" header="0.3" footer="0.3"/>
  <pageSetup paperSize="9" orientation="portrait" horizontalDpi="4294967295" verticalDpi="4294967295" scale="9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75"/>
  <sheetViews>
    <sheetView workbookViewId="0" zoomScale="85" zoomScaleNormal="100" view="pageBreakPreview">
      <selection activeCell="A33" sqref="A33"/>
    </sheetView>
  </sheetViews>
  <sheetFormatPr defaultRowHeight="13.8" outlineLevelRow="0" outlineLevelCol="0" x14ac:dyDescent="0" defaultColWidth="9.109375" customHeight="1"/>
  <cols>
    <col min="1" max="1" width="4.109375" style="48" customWidth="1"/>
    <col min="2" max="2" width="13.6640625" style="48" customWidth="1"/>
    <col min="3" max="3" width="16.5546875" style="48" customWidth="1"/>
    <col min="4" max="4" width="10.88671875" style="48" customWidth="1"/>
    <col min="5" max="5" width="6.44140625" style="48" customWidth="1"/>
    <col min="6" max="6" width="8.5546875" style="48" customWidth="1"/>
    <col min="7" max="7" width="10.88671875" style="48" customWidth="1"/>
    <col min="8" max="9" width="9.33203125" style="48" customWidth="1"/>
    <col min="10" max="10" width="8.44140625" style="48" customWidth="1"/>
    <col min="11" max="11" width="13" style="48" customWidth="1"/>
    <col min="12" max="12" width="0.33203125" style="48" customWidth="1"/>
    <col min="13" max="16384" width="9.109375" style="48" customWidth="1"/>
  </cols>
  <sheetData>
    <row r="1" spans="2:11" x14ac:dyDescent="0.25">
      <c r="B1" s="69" t="s">
        <v>46</v>
      </c>
      <c r="C1" s="70" t="str">
        <f>Лист1!A35</f>
        <v>ГКУ «УДМС»</v>
      </c>
      <c r="D1" s="70"/>
      <c r="E1" s="70"/>
      <c r="F1" s="70"/>
      <c r="G1" s="71"/>
      <c r="H1" s="70"/>
      <c r="I1" s="70"/>
      <c r="J1" s="70"/>
      <c r="K1" s="70"/>
    </row>
    <row r="2" spans="2:11" x14ac:dyDescent="0.25">
      <c r="B2" s="69" t="s">
        <v>64</v>
      </c>
      <c r="C2" s="70" t="str">
        <f>Лист1!A36</f>
        <v>ООО «Резонанс-Энерго»</v>
      </c>
      <c r="D2" s="70"/>
      <c r="E2" s="70"/>
      <c r="F2" s="70"/>
      <c r="G2" s="71"/>
      <c r="H2" s="70"/>
      <c r="I2" s="70"/>
      <c r="J2" s="70"/>
      <c r="K2" s="70"/>
    </row>
    <row r="3" ht="40.5" customHeight="1" spans="2:11" x14ac:dyDescent="0.25">
      <c r="B3" s="72" t="s">
        <v>48</v>
      </c>
      <c r="C3" s="113" t="str">
        <f>Лист1!A4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3"/>
      <c r="E3" s="113"/>
      <c r="F3" s="113"/>
      <c r="G3" s="113"/>
      <c r="H3" s="113"/>
      <c r="I3" s="113"/>
      <c r="J3" s="113"/>
      <c r="K3" s="113"/>
    </row>
    <row r="4" spans="2:11" x14ac:dyDescent="0.25">
      <c r="B4" s="72" t="s">
        <v>49</v>
      </c>
      <c r="C4" s="74" t="str">
        <f>Лист1!A25</f>
        <v>03.06.2024 г.</v>
      </c>
      <c r="G4" s="75"/>
      <c r="H4" s="75"/>
      <c r="I4" s="75"/>
      <c r="J4" s="75"/>
      <c r="K4" s="76"/>
    </row>
    <row r="5" ht="9.75" customHeight="1" spans="1:19" x14ac:dyDescent="0.25">
      <c r="A5" s="77"/>
      <c r="B5" s="77"/>
      <c r="G5" s="78"/>
      <c r="H5" s="78"/>
      <c r="I5" s="78"/>
      <c r="J5" s="78"/>
      <c r="K5" s="78"/>
      <c r="O5" s="79"/>
      <c r="P5" s="79"/>
      <c r="Q5" s="79"/>
      <c r="R5" s="79"/>
      <c r="S5" s="79"/>
    </row>
    <row r="6" ht="15.75" customHeight="1" spans="1:11" x14ac:dyDescent="0.25">
      <c r="A6" s="80" t="s">
        <v>50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ht="15.75" customHeight="1" spans="1:26" x14ac:dyDescent="0.25">
      <c r="A7" s="80" t="s">
        <v>117</v>
      </c>
      <c r="B7" s="80"/>
      <c r="C7" s="80"/>
      <c r="D7" s="80"/>
      <c r="E7" s="80"/>
      <c r="F7" s="80"/>
      <c r="G7" s="80"/>
      <c r="H7" s="80"/>
      <c r="I7" s="80"/>
      <c r="J7" s="80"/>
      <c r="K7" s="80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1.25" customHeight="1" spans="1:26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 spans="1:26" x14ac:dyDescent="0.25">
      <c r="A9" s="79" t="s">
        <v>52</v>
      </c>
      <c r="B9" s="79"/>
      <c r="C9" s="79"/>
      <c r="D9" s="80"/>
      <c r="E9" s="80"/>
      <c r="F9" s="80"/>
      <c r="G9" s="80"/>
      <c r="H9" s="80"/>
      <c r="I9" s="80"/>
      <c r="J9" s="80"/>
      <c r="K9" s="80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5.75" customHeight="1" spans="1:26" x14ac:dyDescent="0.25">
      <c r="A10" s="48"/>
      <c r="B10" s="48"/>
      <c r="C10" s="48"/>
      <c r="D10" s="77"/>
      <c r="E10" s="77"/>
      <c r="F10" s="77"/>
      <c r="G10" s="77"/>
      <c r="H10" s="77"/>
      <c r="I10" s="77"/>
      <c r="J10" s="77"/>
      <c r="K10" s="77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8" customHeight="1" spans="1:26" x14ac:dyDescent="0.25">
      <c r="A11" s="48" t="str">
        <f>Лист1!A9</f>
        <v>Представитель ЮРЭС АО "ОЭК" </v>
      </c>
      <c r="B11" s="83"/>
      <c r="D11" s="48"/>
      <c r="E11" s="48"/>
      <c r="F11" s="48"/>
      <c r="G11" s="48"/>
      <c r="H11" s="48"/>
      <c r="I11" s="48"/>
      <c r="J11" s="48"/>
      <c r="K11" s="48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5.75" customHeight="1" spans="1:26" x14ac:dyDescent="0.25">
      <c r="A12" s="77" t="str">
        <f>Лист1!A10</f>
        <v>Начальник участка ООО «Резонанс-Энерго» Борков Е.А</v>
      </c>
      <c r="B12" s="83"/>
      <c r="D12" s="77"/>
      <c r="E12" s="77"/>
      <c r="F12" s="77"/>
      <c r="G12" s="77"/>
      <c r="H12" s="77"/>
      <c r="I12" s="77"/>
      <c r="J12" s="77"/>
      <c r="K12" s="77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5.75" customHeight="1" spans="1:26" x14ac:dyDescent="0.25">
      <c r="A13" s="80"/>
      <c r="B13" s="80"/>
      <c r="C13" s="48"/>
      <c r="D13" s="80"/>
      <c r="E13" s="80"/>
      <c r="F13" s="80"/>
      <c r="G13" s="80"/>
      <c r="H13" s="80"/>
      <c r="I13" s="80"/>
      <c r="J13" s="80"/>
      <c r="K13" s="80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5.75" customHeight="1" spans="1:26" x14ac:dyDescent="0.25">
      <c r="A14" s="79" t="s">
        <v>66</v>
      </c>
      <c r="B14" s="82"/>
      <c r="C14" s="48"/>
      <c r="D14" s="82"/>
      <c r="E14" s="85" t="str">
        <f>Лист1!A23</f>
        <v>ООО «Резонанс-Энерго»</v>
      </c>
      <c r="F14" s="85"/>
      <c r="G14" s="85"/>
      <c r="H14" s="84"/>
      <c r="I14" s="84"/>
      <c r="J14" s="84"/>
      <c r="K14" s="48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5.75" customHeight="1" spans="1:26" x14ac:dyDescent="0.25">
      <c r="A15" s="84" t="s">
        <v>67</v>
      </c>
      <c r="B15" s="84"/>
      <c r="C15" s="84"/>
      <c r="D15" s="48"/>
      <c r="E15" s="48"/>
      <c r="F15" s="84"/>
      <c r="G15" s="84"/>
      <c r="H15" s="84"/>
      <c r="I15" s="84"/>
      <c r="J15" s="48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5.75" customHeight="1" spans="1:26" x14ac:dyDescent="0.25">
      <c r="A16" s="77" t="s">
        <v>68</v>
      </c>
      <c r="B16" s="82"/>
      <c r="C16" s="48"/>
      <c r="D16" s="80"/>
      <c r="E16" s="80"/>
      <c r="F16" s="80"/>
      <c r="G16" s="80"/>
      <c r="H16" s="80"/>
      <c r="I16" s="80"/>
      <c r="J16" s="80"/>
      <c r="K16" s="80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5.75" customHeight="1" spans="1:26" x14ac:dyDescent="0.25">
      <c r="A17" s="77" t="s">
        <v>118</v>
      </c>
      <c r="B17" s="82"/>
      <c r="C17" s="48"/>
      <c r="D17" s="84"/>
      <c r="E17" s="84"/>
      <c r="F17" s="85" t="str">
        <f>Лист1!A13</f>
        <v>ГНБ № 10-1С</v>
      </c>
      <c r="G17" s="85"/>
      <c r="H17" s="85"/>
      <c r="I17" s="77" t="s">
        <v>70</v>
      </c>
      <c r="J17" s="82"/>
      <c r="K17" s="82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5.75" customHeight="1" spans="1:26" x14ac:dyDescent="0.25">
      <c r="A18" s="77" t="s">
        <v>71</v>
      </c>
      <c r="B18" s="82"/>
      <c r="C18" s="86" t="str">
        <f>Лист1!A6</f>
        <v>По адресу: г. Москва, ул. Кантемировская, д.60</v>
      </c>
      <c r="D18" s="86"/>
      <c r="E18" s="86"/>
      <c r="F18" s="86"/>
      <c r="G18" s="86"/>
      <c r="H18" s="86"/>
      <c r="I18" s="77"/>
      <c r="J18" s="82"/>
      <c r="K18" s="82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5.75" customHeight="1" spans="1:26" x14ac:dyDescent="0.25">
      <c r="A19" s="91"/>
      <c r="B19" s="89"/>
      <c r="C19" s="48"/>
      <c r="D19" s="92"/>
      <c r="E19" s="92"/>
      <c r="F19" s="93"/>
      <c r="G19" s="92"/>
      <c r="H19" s="92"/>
      <c r="I19" s="93"/>
      <c r="J19" s="82"/>
      <c r="K19" s="82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5.75" customHeight="1" spans="1:26" x14ac:dyDescent="0.25">
      <c r="A20" s="94" t="s">
        <v>72</v>
      </c>
      <c r="B20" s="77"/>
      <c r="C20" s="48"/>
      <c r="D20" s="85" t="str">
        <f>Лист1!A17</f>
        <v>АО "МОСИНЖПРОЕКТ"</v>
      </c>
      <c r="E20" s="85"/>
      <c r="F20" s="85"/>
      <c r="G20" s="92" t="s">
        <v>73</v>
      </c>
      <c r="H20" s="87" t="str">
        <f>Лист1!A15</f>
        <v>ИМ-19-4-Р-3.2Э-ЗП2</v>
      </c>
      <c r="I20" s="87"/>
      <c r="J20" s="87"/>
      <c r="K20" s="82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5.75" customHeight="1" spans="1:26" x14ac:dyDescent="0.25">
      <c r="A21" s="94"/>
      <c r="B21" s="77"/>
      <c r="C21" s="48"/>
      <c r="D21" s="93"/>
      <c r="E21" s="93"/>
      <c r="F21" s="93"/>
      <c r="G21" s="92"/>
      <c r="H21" s="93"/>
      <c r="I21" s="93"/>
      <c r="J21" s="93"/>
      <c r="K21" s="82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28.5" customHeight="1" spans="1:26" x14ac:dyDescent="0.25">
      <c r="A22" s="94" t="s">
        <v>105</v>
      </c>
      <c r="B22" s="77"/>
      <c r="C22" s="48"/>
      <c r="D22" s="93"/>
      <c r="E22" s="114" t="str">
        <f>Лист1!A39</f>
        <v>Труба "ПЭ тип "С" 110*6,3 техническая (L012) (паспорт  качества от 23.08.2021г.)</v>
      </c>
      <c r="F22" s="114"/>
      <c r="G22" s="114"/>
      <c r="H22" s="114"/>
      <c r="I22" s="114"/>
      <c r="J22" s="114"/>
      <c r="K22" s="82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5.75" customHeight="1" spans="1:26" x14ac:dyDescent="0.25">
      <c r="A23" s="91"/>
      <c r="B23" s="89"/>
      <c r="C23" s="48"/>
      <c r="D23" s="92"/>
      <c r="E23" s="70"/>
      <c r="F23" s="70"/>
      <c r="G23" s="92"/>
      <c r="H23" s="48"/>
      <c r="I23" s="48"/>
      <c r="J23" s="82"/>
      <c r="K23" s="82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5.75" customHeight="1" spans="1:26" x14ac:dyDescent="0.25">
      <c r="A24" s="94" t="s">
        <v>75</v>
      </c>
      <c r="B24" s="89"/>
      <c r="C24" s="48"/>
      <c r="D24" s="95" t="str">
        <f>Лист1!A19</f>
        <v>01.06.2024 г.</v>
      </c>
      <c r="E24" s="95"/>
      <c r="F24" s="95"/>
      <c r="G24" s="92"/>
      <c r="H24" s="70"/>
      <c r="I24" s="70"/>
      <c r="J24" s="82"/>
      <c r="K24" s="82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5.75" customHeight="1" spans="1:26" x14ac:dyDescent="0.25">
      <c r="A25" s="91"/>
      <c r="B25" s="89"/>
      <c r="C25" s="48"/>
      <c r="D25" s="70"/>
      <c r="E25" s="82"/>
      <c r="F25" s="82"/>
      <c r="G25" s="82"/>
      <c r="H25" s="82"/>
      <c r="I25" s="82"/>
      <c r="J25" s="82"/>
      <c r="K25" s="82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5.75" customHeight="1" spans="1:26" x14ac:dyDescent="0.25">
      <c r="A26" s="94" t="s">
        <v>76</v>
      </c>
      <c r="B26" s="89"/>
      <c r="C26" s="48"/>
      <c r="D26" s="95" t="str">
        <f>Лист1!A21</f>
        <v>03.06.2024 г.</v>
      </c>
      <c r="E26" s="95"/>
      <c r="F26" s="95"/>
      <c r="G26" s="82"/>
      <c r="H26" s="82"/>
      <c r="I26" s="82"/>
      <c r="J26" s="82"/>
      <c r="K26" s="82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5.75" customHeight="1" spans="1:26" x14ac:dyDescent="0.25">
      <c r="A27" s="91"/>
      <c r="B27" s="89"/>
      <c r="C27" s="48"/>
      <c r="D27" s="82"/>
      <c r="E27" s="82"/>
      <c r="F27" s="82"/>
      <c r="G27" s="82"/>
      <c r="H27" s="82"/>
      <c r="I27" s="82"/>
      <c r="J27" s="82"/>
      <c r="K27" s="82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5.75" customHeight="1" spans="1:26" x14ac:dyDescent="0.25">
      <c r="A28" s="80" t="s">
        <v>77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5.75" customHeight="1" spans="1:26" x14ac:dyDescent="0.25">
      <c r="A29" s="94" t="s">
        <v>78</v>
      </c>
      <c r="B29" s="89"/>
      <c r="C29" s="48"/>
      <c r="D29" s="82"/>
      <c r="E29" s="82"/>
      <c r="F29" s="82"/>
      <c r="G29" s="82"/>
      <c r="H29" s="82"/>
      <c r="I29" s="82"/>
      <c r="J29" s="82"/>
      <c r="K29" s="82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5.75" customHeight="1" spans="1:26" x14ac:dyDescent="0.25">
      <c r="A30" s="94" t="s">
        <v>106</v>
      </c>
      <c r="B30" s="89"/>
      <c r="C30" s="48"/>
      <c r="D30" s="82"/>
      <c r="E30" s="84"/>
      <c r="F30" s="84"/>
      <c r="G30" s="84"/>
      <c r="H30" s="89"/>
      <c r="I30" s="82"/>
      <c r="J30" s="82"/>
      <c r="K30" s="82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5.75" customHeight="1" spans="1:26" x14ac:dyDescent="0.25">
      <c r="A31" s="91"/>
      <c r="B31" s="89"/>
      <c r="C31" s="48"/>
      <c r="D31" s="82"/>
      <c r="E31" s="93"/>
      <c r="F31" s="93"/>
      <c r="G31" s="93"/>
      <c r="H31" s="89"/>
      <c r="I31" s="82"/>
      <c r="J31" s="82"/>
      <c r="K31" s="82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5.75" customHeight="1" spans="1:26" x14ac:dyDescent="0.25">
      <c r="A32" s="91"/>
      <c r="B32" s="89"/>
      <c r="C32" s="48"/>
      <c r="D32" s="82"/>
      <c r="E32" s="82"/>
      <c r="F32" s="82"/>
      <c r="G32" s="82"/>
      <c r="H32" s="82"/>
      <c r="I32" s="82"/>
      <c r="J32" s="82"/>
      <c r="K32" s="82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5.75" customHeight="1" x14ac:dyDescent="0.25"/>
    <row r="34" ht="15.75" customHeight="1" x14ac:dyDescent="0.25"/>
    <row r="35" ht="15.75" customHeight="1" spans="1:9" x14ac:dyDescent="0.25">
      <c r="A35" s="77" t="str">
        <f>Лист1!A30</f>
        <v>Представитель Южного РЭС АО "ОЭК" ____________________</v>
      </c>
      <c r="C35" s="77"/>
      <c r="D35" s="77"/>
      <c r="E35" s="77"/>
      <c r="F35" s="77"/>
      <c r="G35" s="77"/>
      <c r="H35" s="77"/>
      <c r="I35" s="77"/>
    </row>
    <row r="36" ht="15.75" customHeight="1" spans="1:9" x14ac:dyDescent="0.25">
      <c r="A36" s="77"/>
      <c r="C36" s="77"/>
      <c r="D36" s="77"/>
      <c r="E36" s="77"/>
      <c r="F36" s="77"/>
      <c r="G36" s="77"/>
      <c r="H36" s="77"/>
      <c r="I36" s="77"/>
    </row>
    <row r="37" ht="15.75" customHeight="1" spans="1:9" x14ac:dyDescent="0.25">
      <c r="A37" s="77" t="str">
        <f>Лист1!A31</f>
        <v>Начальник участка ООО «Резонанс-Энерго» ______________________Борков Е.А</v>
      </c>
      <c r="C37" s="77"/>
      <c r="D37" s="77"/>
      <c r="E37" s="77"/>
      <c r="F37" s="77"/>
      <c r="G37" s="77"/>
      <c r="H37" s="77"/>
      <c r="I37" s="77"/>
    </row>
    <row r="38" ht="15.75" customHeight="1" hidden="1" spans="1:9" x14ac:dyDescent="0.25">
      <c r="A38" s="77"/>
      <c r="C38" s="77"/>
      <c r="D38" s="77"/>
      <c r="E38" s="77"/>
      <c r="F38" s="77"/>
      <c r="G38" s="77"/>
      <c r="H38" s="77"/>
      <c r="I38" s="77"/>
    </row>
    <row r="39" ht="15.75" customHeight="1" spans="1:9" x14ac:dyDescent="0.25">
      <c r="A39" s="77"/>
      <c r="C39" s="77"/>
      <c r="D39" s="77"/>
      <c r="E39" s="77"/>
      <c r="F39" s="77"/>
      <c r="G39" s="77"/>
      <c r="H39" s="77"/>
      <c r="I39" s="77"/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</sheetData>
  <mergeCells count="14">
    <mergeCell ref="C3:K3"/>
    <mergeCell ref="G4:J4"/>
    <mergeCell ref="A5:B5"/>
    <mergeCell ref="G5:K5"/>
    <mergeCell ref="A6:K6"/>
    <mergeCell ref="A7:K7"/>
    <mergeCell ref="E14:G14"/>
    <mergeCell ref="F17:H17"/>
    <mergeCell ref="C18:H18"/>
    <mergeCell ref="D20:F20"/>
    <mergeCell ref="E22:J22"/>
    <mergeCell ref="D24:F24"/>
    <mergeCell ref="D26:F26"/>
    <mergeCell ref="A28:K28"/>
  </mergeCells>
  <pageMargins left="0.25" right="0.25" top="0.75" bottom="0.75" header="0.3" footer="0.3"/>
  <pageSetup paperSize="9" orientation="portrait" horizontalDpi="4294967295" verticalDpi="4294967295" scale="9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77"/>
  <sheetViews>
    <sheetView workbookViewId="0" zoomScale="100" zoomScaleNormal="100" view="pageBreakPreview">
      <selection activeCell="A17" sqref="A17"/>
    </sheetView>
  </sheetViews>
  <sheetFormatPr defaultRowHeight="13.2" outlineLevelRow="0" outlineLevelCol="0" x14ac:dyDescent="0" defaultColWidth="9.109375" customHeight="1"/>
  <cols>
    <col min="1" max="1" width="4.109375" style="48" customWidth="1"/>
    <col min="2" max="2" width="13.6640625" style="48" customWidth="1"/>
    <col min="3" max="3" width="16.5546875" style="48" customWidth="1"/>
    <col min="4" max="4" width="10.88671875" style="48" customWidth="1"/>
    <col min="5" max="5" width="6.44140625" style="48" customWidth="1"/>
    <col min="6" max="6" width="8.5546875" style="48" customWidth="1"/>
    <col min="7" max="7" width="13" style="48" customWidth="1"/>
    <col min="8" max="8" width="10.33203125" style="48" customWidth="1"/>
    <col min="9" max="9" width="9.33203125" style="48" customWidth="1"/>
    <col min="10" max="10" width="8.44140625" style="48" customWidth="1"/>
    <col min="11" max="11" width="9" style="48" customWidth="1"/>
    <col min="12" max="12" width="1.44140625" style="48" customWidth="1"/>
    <col min="13" max="16384" width="9.109375" style="48" customWidth="1"/>
  </cols>
  <sheetData>
    <row r="1" ht="13.8" customHeight="1" spans="2:11" x14ac:dyDescent="0.25">
      <c r="B1" s="99" t="s">
        <v>46</v>
      </c>
      <c r="C1" s="70" t="str">
        <f>Лист1!A35</f>
        <v>ГКУ «УДМС»</v>
      </c>
      <c r="D1" s="70"/>
      <c r="E1" s="70"/>
      <c r="F1" s="70"/>
      <c r="G1" s="100"/>
      <c r="H1" s="70"/>
      <c r="I1" s="70"/>
      <c r="J1" s="70"/>
      <c r="K1" s="70"/>
    </row>
    <row r="2" ht="13.8" customHeight="1" spans="2:11" x14ac:dyDescent="0.25">
      <c r="B2" s="99" t="s">
        <v>64</v>
      </c>
      <c r="C2" s="70" t="str">
        <f>Лист1!A36</f>
        <v>ООО «Резонанс-Энерго»</v>
      </c>
      <c r="D2" s="70"/>
      <c r="E2" s="70"/>
      <c r="F2" s="70"/>
      <c r="G2" s="100"/>
      <c r="H2" s="70"/>
      <c r="I2" s="70"/>
      <c r="J2" s="70"/>
      <c r="K2" s="70"/>
    </row>
    <row r="3" ht="45.75" customHeight="1" spans="2:11" x14ac:dyDescent="0.25">
      <c r="B3" s="101" t="s">
        <v>48</v>
      </c>
      <c r="C3" s="73" t="str">
        <f>Лист1!A4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73"/>
      <c r="E3" s="73"/>
      <c r="F3" s="73"/>
      <c r="G3" s="73"/>
      <c r="H3" s="73"/>
      <c r="I3" s="73"/>
      <c r="J3" s="73"/>
      <c r="K3" s="73"/>
    </row>
    <row r="4" ht="13.8" customHeight="1" spans="2:11" x14ac:dyDescent="0.25">
      <c r="B4" s="101" t="s">
        <v>49</v>
      </c>
      <c r="C4" s="74" t="str">
        <f>Лист1!A25</f>
        <v>03.06.2024 г.</v>
      </c>
      <c r="G4" s="102"/>
      <c r="H4" s="102"/>
      <c r="I4" s="102"/>
      <c r="J4" s="102"/>
      <c r="K4" s="103"/>
    </row>
    <row r="5" ht="9.75" customHeight="1" spans="1:19" x14ac:dyDescent="0.25">
      <c r="A5" s="40"/>
      <c r="B5" s="40"/>
      <c r="G5" s="104"/>
      <c r="H5" s="104"/>
      <c r="I5" s="104"/>
      <c r="J5" s="104"/>
      <c r="K5" s="104"/>
      <c r="O5" s="105"/>
      <c r="P5" s="105"/>
      <c r="Q5" s="105"/>
      <c r="R5" s="105"/>
      <c r="S5" s="105"/>
    </row>
    <row r="6" ht="15.75" customHeight="1" spans="1:11" s="48" customFormat="1" x14ac:dyDescent="0.25">
      <c r="A6" s="80" t="s">
        <v>50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ht="15.75" customHeight="1" spans="1:26" s="48" customFormat="1" x14ac:dyDescent="0.25">
      <c r="A7" s="80" t="s">
        <v>97</v>
      </c>
      <c r="B7" s="80"/>
      <c r="C7" s="80"/>
      <c r="D7" s="80"/>
      <c r="E7" s="80"/>
      <c r="F7" s="80"/>
      <c r="G7" s="80"/>
      <c r="H7" s="80"/>
      <c r="I7" s="80"/>
      <c r="J7" s="80"/>
      <c r="K7" s="80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1.25" customHeight="1" spans="1:26" s="48" customFormat="1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 spans="1:26" s="48" customFormat="1" x14ac:dyDescent="0.25">
      <c r="A9" s="79" t="s">
        <v>52</v>
      </c>
      <c r="B9" s="79"/>
      <c r="C9" s="79"/>
      <c r="D9" s="80"/>
      <c r="E9" s="80"/>
      <c r="F9" s="80"/>
      <c r="G9" s="80"/>
      <c r="H9" s="80"/>
      <c r="I9" s="80"/>
      <c r="J9" s="80"/>
      <c r="K9" s="80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3.8" customHeight="1" spans="1:26" s="48" customFormat="1" x14ac:dyDescent="0.25">
      <c r="A10" s="48"/>
      <c r="B10" s="48"/>
      <c r="C10" s="48"/>
      <c r="D10" s="77"/>
      <c r="E10" s="77"/>
      <c r="F10" s="77"/>
      <c r="G10" s="77"/>
      <c r="H10" s="77"/>
      <c r="I10" s="77"/>
      <c r="J10" s="77"/>
      <c r="K10" s="77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3.8" customHeight="1" spans="1:26" s="48" customFormat="1" x14ac:dyDescent="0.25">
      <c r="A11" s="48" t="str">
        <f>Лист1!A9</f>
        <v>Представитель ЮРЭС АО "ОЭК" </v>
      </c>
      <c r="B11" s="83"/>
      <c r="D11" s="48"/>
      <c r="E11" s="48"/>
      <c r="F11" s="48"/>
      <c r="G11" s="48"/>
      <c r="H11" s="48"/>
      <c r="I11" s="48"/>
      <c r="J11" s="48"/>
      <c r="K11" s="48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3.8" customHeight="1" spans="1:26" s="48" customFormat="1" x14ac:dyDescent="0.25">
      <c r="A12" s="77" t="str">
        <f>Лист1!A10</f>
        <v>Начальник участка ООО «Резонанс-Энерго» Борков Е.А</v>
      </c>
      <c r="B12" s="83"/>
      <c r="D12" s="77"/>
      <c r="E12" s="77"/>
      <c r="F12" s="77"/>
      <c r="G12" s="77"/>
      <c r="H12" s="77"/>
      <c r="I12" s="77"/>
      <c r="J12" s="77"/>
      <c r="K12" s="77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5.75" customHeight="1" spans="1:26" s="48" customFormat="1" x14ac:dyDescent="0.25">
      <c r="A13" s="80"/>
      <c r="B13" s="80"/>
      <c r="C13" s="48"/>
      <c r="D13" s="80"/>
      <c r="E13" s="80"/>
      <c r="F13" s="80"/>
      <c r="G13" s="80"/>
      <c r="H13" s="80"/>
      <c r="I13" s="80"/>
      <c r="J13" s="80"/>
      <c r="K13" s="80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5.75" customHeight="1" spans="1:26" s="48" customFormat="1" x14ac:dyDescent="0.25">
      <c r="A14" s="48" t="s">
        <v>66</v>
      </c>
      <c r="B14" s="82"/>
      <c r="C14" s="48"/>
      <c r="D14" s="82"/>
      <c r="E14" s="85" t="str">
        <f>Лист1!A23</f>
        <v>ООО «Резонанс-Энерго»</v>
      </c>
      <c r="F14" s="85"/>
      <c r="G14" s="85"/>
      <c r="H14" s="84"/>
      <c r="I14" s="84"/>
      <c r="J14" s="84"/>
      <c r="K14" s="48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5.75" customHeight="1" spans="1:26" s="48" customFormat="1" x14ac:dyDescent="0.25">
      <c r="A15" s="48" t="s">
        <v>98</v>
      </c>
      <c r="B15" s="84"/>
      <c r="C15" s="84"/>
      <c r="D15" s="48"/>
      <c r="E15" s="106" t="str">
        <f>Лист1!A13</f>
        <v>ГНБ № 10-1С</v>
      </c>
      <c r="F15" s="106"/>
      <c r="G15" s="106"/>
      <c r="H15" s="84"/>
      <c r="I15" s="84"/>
      <c r="J15" s="48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5.75" customHeight="1" spans="1:26" s="48" customFormat="1" x14ac:dyDescent="0.25">
      <c r="A16" s="48" t="s">
        <v>99</v>
      </c>
      <c r="B16" s="84"/>
      <c r="C16" s="84"/>
      <c r="D16" s="48"/>
      <c r="E16" s="48"/>
      <c r="F16" s="84"/>
      <c r="G16" s="84"/>
      <c r="H16" s="84"/>
      <c r="I16" s="84"/>
      <c r="J16" s="48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5.75" customHeight="1" spans="1:26" s="48" customFormat="1" x14ac:dyDescent="0.25">
      <c r="A17" s="87" t="str">
        <f>Лист1!A27</f>
        <v>Представитель Южного РЭС АО "ОЭК" и АО "ОЭК"</v>
      </c>
      <c r="B17" s="87"/>
      <c r="C17" s="87"/>
      <c r="D17" s="87"/>
      <c r="E17" s="87"/>
      <c r="F17" s="87"/>
      <c r="G17" s="87"/>
      <c r="H17" s="48" t="s">
        <v>100</v>
      </c>
      <c r="I17" s="93"/>
      <c r="J17" s="48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5.75" customHeight="1" spans="1:26" s="48" customFormat="1" x14ac:dyDescent="0.25">
      <c r="A18" s="48" t="s">
        <v>101</v>
      </c>
      <c r="B18" s="84"/>
      <c r="C18" s="84"/>
      <c r="D18" s="48"/>
      <c r="E18" s="48"/>
      <c r="F18" s="84"/>
      <c r="G18" s="84"/>
      <c r="H18" s="84"/>
      <c r="I18" s="84"/>
      <c r="J18" s="48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5.75" customHeight="1" spans="1:26" s="48" customFormat="1" x14ac:dyDescent="0.25">
      <c r="A19" s="77" t="s">
        <v>102</v>
      </c>
      <c r="B19" s="82"/>
      <c r="C19" s="48"/>
      <c r="D19" s="80"/>
      <c r="E19" s="80"/>
      <c r="F19" s="80"/>
      <c r="G19" s="80"/>
      <c r="H19" s="80"/>
      <c r="I19" s="80"/>
      <c r="J19" s="80"/>
      <c r="K19" s="80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5.75" customHeight="1" spans="1:26" s="48" customFormat="1" x14ac:dyDescent="0.25">
      <c r="A20" s="48" t="s">
        <v>103</v>
      </c>
      <c r="B20" s="82"/>
      <c r="C20" s="48"/>
      <c r="D20" s="84"/>
      <c r="E20" s="84"/>
      <c r="F20" s="84"/>
      <c r="G20" s="77"/>
      <c r="H20" s="82"/>
      <c r="I20" s="82"/>
      <c r="J20" s="82"/>
      <c r="K20" s="82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5.75" customHeight="1" spans="1:26" s="48" customFormat="1" x14ac:dyDescent="0.25">
      <c r="A21" s="48" t="s">
        <v>104</v>
      </c>
      <c r="B21" s="79"/>
      <c r="C21" s="48"/>
      <c r="D21" s="92"/>
      <c r="E21" s="92"/>
      <c r="F21" s="93"/>
      <c r="G21" s="92"/>
      <c r="H21" s="92"/>
      <c r="I21" s="93"/>
      <c r="J21" s="82"/>
      <c r="K21" s="82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5.75" customHeight="1" spans="1:26" s="48" customFormat="1" x14ac:dyDescent="0.25">
      <c r="A22" s="91"/>
      <c r="B22" s="89"/>
      <c r="C22" s="48"/>
      <c r="D22" s="92"/>
      <c r="E22" s="92"/>
      <c r="F22" s="93"/>
      <c r="G22" s="92"/>
      <c r="H22" s="92"/>
      <c r="I22" s="93"/>
      <c r="J22" s="82"/>
      <c r="K22" s="82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5.75" customHeight="1" spans="1:26" s="48" customFormat="1" x14ac:dyDescent="0.25">
      <c r="A23" s="94" t="s">
        <v>72</v>
      </c>
      <c r="B23" s="77"/>
      <c r="C23" s="48"/>
      <c r="D23" s="85" t="str">
        <f>Лист1!A17</f>
        <v>АО "МОСИНЖПРОЕКТ"</v>
      </c>
      <c r="E23" s="85"/>
      <c r="F23" s="85"/>
      <c r="G23" s="92" t="s">
        <v>73</v>
      </c>
      <c r="H23" s="87" t="str">
        <f>Лист1!A15</f>
        <v>ИМ-19-4-Р-3.2Э-ЗП2</v>
      </c>
      <c r="I23" s="87"/>
      <c r="J23" s="87"/>
      <c r="K23" s="82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5.75" customHeight="1" spans="1:26" s="48" customFormat="1" x14ac:dyDescent="0.25">
      <c r="A24" s="91"/>
      <c r="B24" s="89"/>
      <c r="C24" s="48"/>
      <c r="D24" s="92"/>
      <c r="E24" s="70"/>
      <c r="F24" s="70"/>
      <c r="G24" s="92"/>
      <c r="H24" s="48"/>
      <c r="I24" s="48"/>
      <c r="J24" s="82"/>
      <c r="K24" s="82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32.25" customHeight="1" spans="1:26" s="48" customFormat="1" x14ac:dyDescent="0.25">
      <c r="A25" s="94" t="s">
        <v>105</v>
      </c>
      <c r="B25" s="89"/>
      <c r="C25" s="48"/>
      <c r="D25" s="92"/>
      <c r="E25" s="107" t="str">
        <f>Лист1!A39</f>
        <v>Труба "ПЭ тип "С" 110*6,3 техническая (L012) (паспорт  качества от 23.08.2021г.)</v>
      </c>
      <c r="F25" s="107"/>
      <c r="G25" s="107"/>
      <c r="H25" s="107"/>
      <c r="I25" s="107"/>
      <c r="J25" s="107"/>
      <c r="K25" s="82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5.75" customHeight="1" spans="1:26" s="48" customFormat="1" x14ac:dyDescent="0.25">
      <c r="A26" s="91"/>
      <c r="B26" s="89"/>
      <c r="C26" s="48"/>
      <c r="D26" s="92"/>
      <c r="E26" s="70"/>
      <c r="F26" s="70"/>
      <c r="G26" s="92"/>
      <c r="H26" s="48"/>
      <c r="I26" s="48"/>
      <c r="J26" s="82"/>
      <c r="K26" s="82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5.75" customHeight="1" spans="1:26" s="48" customFormat="1" x14ac:dyDescent="0.25">
      <c r="A27" s="94" t="s">
        <v>75</v>
      </c>
      <c r="B27" s="89"/>
      <c r="C27" s="48"/>
      <c r="D27" s="95" t="str">
        <f>Лист1!A19</f>
        <v>01.06.2024 г.</v>
      </c>
      <c r="E27" s="95"/>
      <c r="F27" s="95"/>
      <c r="G27" s="92"/>
      <c r="H27" s="70"/>
      <c r="I27" s="70"/>
      <c r="J27" s="82"/>
      <c r="K27" s="82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5.75" customHeight="1" spans="1:26" s="48" customFormat="1" x14ac:dyDescent="0.25">
      <c r="A28" s="91"/>
      <c r="B28" s="89"/>
      <c r="C28" s="48"/>
      <c r="D28" s="70"/>
      <c r="E28" s="82"/>
      <c r="F28" s="82"/>
      <c r="G28" s="82"/>
      <c r="H28" s="82"/>
      <c r="I28" s="82"/>
      <c r="J28" s="82"/>
      <c r="K28" s="82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5.75" customHeight="1" spans="1:26" s="48" customFormat="1" x14ac:dyDescent="0.25">
      <c r="A29" s="94" t="s">
        <v>76</v>
      </c>
      <c r="B29" s="89"/>
      <c r="C29" s="48"/>
      <c r="D29" s="95" t="str">
        <f>Лист1!A21</f>
        <v>03.06.2024 г.</v>
      </c>
      <c r="E29" s="95"/>
      <c r="F29" s="95"/>
      <c r="G29" s="82"/>
      <c r="H29" s="82"/>
      <c r="I29" s="82"/>
      <c r="J29" s="82"/>
      <c r="K29" s="82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5.75" customHeight="1" spans="1:26" s="48" customFormat="1" x14ac:dyDescent="0.25">
      <c r="A30" s="91"/>
      <c r="B30" s="89"/>
      <c r="C30" s="48"/>
      <c r="D30" s="82"/>
      <c r="E30" s="82"/>
      <c r="F30" s="82"/>
      <c r="G30" s="82"/>
      <c r="H30" s="82"/>
      <c r="I30" s="82"/>
      <c r="J30" s="82"/>
      <c r="K30" s="82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5.75" customHeight="1" spans="1:26" s="48" customFormat="1" x14ac:dyDescent="0.25">
      <c r="A31" s="80" t="s">
        <v>77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5.75" customHeight="1" spans="1:26" s="48" customFormat="1" x14ac:dyDescent="0.25">
      <c r="A32" s="94" t="s">
        <v>78</v>
      </c>
      <c r="B32" s="89"/>
      <c r="C32" s="48"/>
      <c r="D32" s="82"/>
      <c r="E32" s="82"/>
      <c r="F32" s="82"/>
      <c r="G32" s="82"/>
      <c r="H32" s="82"/>
      <c r="I32" s="82"/>
      <c r="J32" s="82"/>
      <c r="K32" s="82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5.75" customHeight="1" spans="1:26" s="48" customFormat="1" x14ac:dyDescent="0.25">
      <c r="A33" s="94" t="s">
        <v>106</v>
      </c>
      <c r="B33" s="89"/>
      <c r="C33" s="48"/>
      <c r="D33" s="82"/>
      <c r="E33" s="84"/>
      <c r="F33" s="84"/>
      <c r="G33" s="84"/>
      <c r="H33" s="89"/>
      <c r="I33" s="82"/>
      <c r="J33" s="82"/>
      <c r="K33" s="82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5.75" customHeight="1" spans="1:26" s="48" customFormat="1" x14ac:dyDescent="0.25">
      <c r="A34" s="91"/>
      <c r="B34" s="89"/>
      <c r="C34" s="48"/>
      <c r="D34" s="82"/>
      <c r="E34" s="93"/>
      <c r="F34" s="93"/>
      <c r="G34" s="93"/>
      <c r="H34" s="89"/>
      <c r="I34" s="82"/>
      <c r="J34" s="82"/>
      <c r="K34" s="82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5.75" customHeight="1" s="48" customFormat="1" x14ac:dyDescent="0.25"/>
    <row r="36" ht="15.75" customHeight="1" s="48" customFormat="1" x14ac:dyDescent="0.25"/>
    <row r="37" ht="15.75" customHeight="1" spans="1:9" s="48" customFormat="1" x14ac:dyDescent="0.25">
      <c r="A37" s="77" t="str">
        <f>Лист1!A30</f>
        <v>Представитель Южного РЭС АО "ОЭК" ____________________</v>
      </c>
      <c r="C37" s="77"/>
      <c r="D37" s="77"/>
      <c r="E37" s="77"/>
      <c r="F37" s="77"/>
      <c r="G37" s="77"/>
      <c r="H37" s="77"/>
      <c r="I37" s="77"/>
    </row>
    <row r="38" ht="15.75" customHeight="1" spans="1:9" s="48" customFormat="1" x14ac:dyDescent="0.25">
      <c r="A38" s="77"/>
      <c r="C38" s="77"/>
      <c r="D38" s="77"/>
      <c r="E38" s="77"/>
      <c r="F38" s="77"/>
      <c r="G38" s="77"/>
      <c r="H38" s="77"/>
      <c r="I38" s="77"/>
    </row>
    <row r="39" ht="15.75" customHeight="1" spans="1:9" s="48" customFormat="1" x14ac:dyDescent="0.25">
      <c r="A39" s="77" t="str">
        <f>Лист1!A31</f>
        <v>Начальник участка ООО «Резонанс-Энерго» ______________________Борков Е.А</v>
      </c>
      <c r="C39" s="77"/>
      <c r="D39" s="77"/>
      <c r="E39" s="77"/>
      <c r="F39" s="77"/>
      <c r="G39" s="77"/>
      <c r="H39" s="77"/>
      <c r="I39" s="77"/>
    </row>
    <row r="40" ht="15.75" customHeight="1" hidden="1" spans="1:9" s="48" customFormat="1" x14ac:dyDescent="0.25">
      <c r="A40" s="77"/>
      <c r="C40" s="77"/>
      <c r="D40" s="77"/>
      <c r="E40" s="77"/>
      <c r="F40" s="77"/>
      <c r="G40" s="77"/>
      <c r="H40" s="77"/>
      <c r="I40" s="77"/>
    </row>
    <row r="41" ht="15.75" customHeight="1" spans="1:9" s="48" customFormat="1" x14ac:dyDescent="0.25">
      <c r="A41" s="77"/>
      <c r="C41" s="77"/>
      <c r="D41" s="77"/>
      <c r="E41" s="77"/>
      <c r="F41" s="77"/>
      <c r="G41" s="77"/>
      <c r="H41" s="77"/>
      <c r="I41" s="77"/>
    </row>
    <row r="42" ht="15.75" customHeight="1" s="48" customFormat="1" x14ac:dyDescent="0.25"/>
    <row r="43" ht="15.75" customHeight="1" s="48" customForma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</sheetData>
  <mergeCells count="12">
    <mergeCell ref="C3:K3"/>
    <mergeCell ref="G4:J4"/>
    <mergeCell ref="A5:B5"/>
    <mergeCell ref="G5:K5"/>
    <mergeCell ref="A6:K6"/>
    <mergeCell ref="A7:K7"/>
    <mergeCell ref="E14:G14"/>
    <mergeCell ref="D23:F23"/>
    <mergeCell ref="E25:J25"/>
    <mergeCell ref="D27:F27"/>
    <mergeCell ref="D29:F29"/>
    <mergeCell ref="A31:K31"/>
  </mergeCells>
  <pageMargins left="0.25" right="0.25" top="0.75" bottom="0.75" header="0.3" footer="0.3"/>
  <pageSetup paperSize="9" orientation="portrait" horizontalDpi="4294967295" verticalDpi="4294967295" scale="9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75"/>
  <sheetViews>
    <sheetView workbookViewId="0" zoomScale="130" zoomScaleNormal="100" view="pageBreakPreview">
      <selection activeCell="I38" sqref="I38"/>
    </sheetView>
  </sheetViews>
  <sheetFormatPr defaultRowHeight="13.8" outlineLevelRow="0" outlineLevelCol="0" x14ac:dyDescent="0" defaultColWidth="9.109375" customHeight="1"/>
  <cols>
    <col min="1" max="1" width="4.109375" style="48" customWidth="1"/>
    <col min="2" max="2" width="13.6640625" style="48" customWidth="1"/>
    <col min="3" max="3" width="16.5546875" style="48" customWidth="1"/>
    <col min="4" max="4" width="10.88671875" style="48" customWidth="1"/>
    <col min="5" max="5" width="6.44140625" style="48" customWidth="1"/>
    <col min="6" max="6" width="8.5546875" style="48" customWidth="1"/>
    <col min="7" max="7" width="10.88671875" style="48" customWidth="1"/>
    <col min="8" max="9" width="9.33203125" style="48" customWidth="1"/>
    <col min="10" max="10" width="8.44140625" style="48" customWidth="1"/>
    <col min="11" max="11" width="13" style="48" customWidth="1"/>
    <col min="12" max="12" width="0.33203125" style="48" customWidth="1"/>
    <col min="13" max="16384" width="9.109375" style="48" customWidth="1"/>
  </cols>
  <sheetData>
    <row r="1" spans="2:11" x14ac:dyDescent="0.25">
      <c r="B1" s="69" t="s">
        <v>46</v>
      </c>
      <c r="C1" s="70" t="str">
        <f>Лист1!A35</f>
        <v>ГКУ «УДМС»</v>
      </c>
      <c r="D1" s="70"/>
      <c r="E1" s="70"/>
      <c r="F1" s="70"/>
      <c r="G1" s="71"/>
      <c r="H1" s="70"/>
      <c r="I1" s="70"/>
      <c r="J1" s="70"/>
      <c r="K1" s="70"/>
    </row>
    <row r="2" spans="2:11" x14ac:dyDescent="0.25">
      <c r="B2" s="69" t="s">
        <v>64</v>
      </c>
      <c r="C2" s="70" t="str">
        <f>Лист1!A36</f>
        <v>ООО «Резонанс-Энерго»</v>
      </c>
      <c r="D2" s="70"/>
      <c r="E2" s="70"/>
      <c r="F2" s="70"/>
      <c r="G2" s="71"/>
      <c r="H2" s="70"/>
      <c r="I2" s="70"/>
      <c r="J2" s="70"/>
      <c r="K2" s="70"/>
    </row>
    <row r="3" ht="51.75" customHeight="1" spans="2:11" x14ac:dyDescent="0.25">
      <c r="B3" s="72" t="s">
        <v>48</v>
      </c>
      <c r="C3" s="73" t="str">
        <f>Лист1!A4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73"/>
      <c r="E3" s="73"/>
      <c r="F3" s="73"/>
      <c r="G3" s="73"/>
      <c r="H3" s="73"/>
      <c r="I3" s="73"/>
      <c r="J3" s="73"/>
      <c r="K3" s="73"/>
    </row>
    <row r="4" spans="2:11" x14ac:dyDescent="0.25">
      <c r="B4" s="72" t="s">
        <v>49</v>
      </c>
      <c r="C4" s="74" t="str">
        <f>Лист1!A25</f>
        <v>03.06.2024 г.</v>
      </c>
      <c r="G4" s="75"/>
      <c r="H4" s="75"/>
      <c r="I4" s="75"/>
      <c r="J4" s="75"/>
      <c r="K4" s="76"/>
    </row>
    <row r="5" ht="9.75" customHeight="1" spans="1:19" x14ac:dyDescent="0.25">
      <c r="A5" s="77"/>
      <c r="B5" s="77"/>
      <c r="G5" s="78"/>
      <c r="H5" s="78"/>
      <c r="I5" s="78"/>
      <c r="J5" s="78"/>
      <c r="K5" s="78"/>
      <c r="O5" s="79"/>
      <c r="P5" s="79"/>
      <c r="Q5" s="79"/>
      <c r="R5" s="79"/>
      <c r="S5" s="79"/>
    </row>
    <row r="6" spans="1:11" x14ac:dyDescent="0.25">
      <c r="A6" s="80" t="s">
        <v>50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spans="1:26" x14ac:dyDescent="0.25">
      <c r="A7" s="80" t="s">
        <v>65</v>
      </c>
      <c r="B7" s="80"/>
      <c r="C7" s="80"/>
      <c r="D7" s="80"/>
      <c r="E7" s="80"/>
      <c r="F7" s="80"/>
      <c r="G7" s="80"/>
      <c r="H7" s="80"/>
      <c r="I7" s="80"/>
      <c r="J7" s="80"/>
      <c r="K7" s="80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x14ac:dyDescent="0.25">
      <c r="A9" s="79" t="s">
        <v>52</v>
      </c>
      <c r="B9" s="79"/>
      <c r="C9" s="79"/>
      <c r="D9" s="80"/>
      <c r="E9" s="80"/>
      <c r="F9" s="80"/>
      <c r="G9" s="80"/>
      <c r="H9" s="80"/>
      <c r="I9" s="80"/>
      <c r="J9" s="80"/>
      <c r="K9" s="80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x14ac:dyDescent="0.25">
      <c r="A10" s="48"/>
      <c r="B10" s="83"/>
      <c r="D10" s="77"/>
      <c r="E10" s="77"/>
      <c r="F10" s="77"/>
      <c r="G10" s="77"/>
      <c r="H10" s="77"/>
      <c r="I10" s="77"/>
      <c r="J10" s="77"/>
      <c r="K10" s="77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x14ac:dyDescent="0.25">
      <c r="A11" s="48" t="str">
        <f>Лист1!A9</f>
        <v>Представитель ЮРЭС АО "ОЭК" </v>
      </c>
      <c r="B11" s="83"/>
      <c r="D11" s="48"/>
      <c r="E11" s="48"/>
      <c r="F11" s="48"/>
      <c r="G11" s="48"/>
      <c r="H11" s="48"/>
      <c r="I11" s="48"/>
      <c r="J11" s="48"/>
      <c r="K11" s="48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x14ac:dyDescent="0.25">
      <c r="A12" s="77" t="str">
        <f>Лист1!A10</f>
        <v>Начальник участка ООО «Резонанс-Энерго» Борков Е.А</v>
      </c>
      <c r="B12" s="83"/>
      <c r="D12" s="77"/>
      <c r="E12" s="77"/>
      <c r="F12" s="77"/>
      <c r="G12" s="77"/>
      <c r="H12" s="77"/>
      <c r="I12" s="77"/>
      <c r="J12" s="77"/>
      <c r="K12" s="77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x14ac:dyDescent="0.25">
      <c r="A13" s="80"/>
      <c r="B13" s="80"/>
      <c r="C13" s="48"/>
      <c r="D13" s="80"/>
      <c r="E13" s="80"/>
      <c r="F13" s="80"/>
      <c r="G13" s="80"/>
      <c r="H13" s="80"/>
      <c r="I13" s="80"/>
      <c r="J13" s="80"/>
      <c r="K13" s="80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4.4" customHeight="1" spans="1:26" x14ac:dyDescent="0.25">
      <c r="A14" s="79" t="s">
        <v>66</v>
      </c>
      <c r="B14" s="82"/>
      <c r="C14" s="48"/>
      <c r="D14" s="82"/>
      <c r="E14" s="85" t="str">
        <f>Лист1!A23</f>
        <v>ООО «Резонанс-Энерго»</v>
      </c>
      <c r="F14" s="85"/>
      <c r="G14" s="85"/>
      <c r="H14" s="84"/>
      <c r="I14" s="84"/>
      <c r="J14" s="84"/>
      <c r="K14" s="48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4.4" customHeight="1" spans="1:26" x14ac:dyDescent="0.25">
      <c r="A15" s="84" t="s">
        <v>67</v>
      </c>
      <c r="B15" s="84"/>
      <c r="C15" s="84"/>
      <c r="D15" s="48"/>
      <c r="E15" s="48"/>
      <c r="F15" s="84"/>
      <c r="G15" s="84"/>
      <c r="H15" s="84"/>
      <c r="I15" s="84"/>
      <c r="J15" s="48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x14ac:dyDescent="0.25">
      <c r="A16" s="77" t="s">
        <v>68</v>
      </c>
      <c r="B16" s="82"/>
      <c r="C16" s="48"/>
      <c r="D16" s="80"/>
      <c r="E16" s="80"/>
      <c r="F16" s="80"/>
      <c r="G16" s="80"/>
      <c r="H16" s="80"/>
      <c r="I16" s="80"/>
      <c r="J16" s="80"/>
      <c r="K16" s="80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4.4" customHeight="1" spans="1:26" x14ac:dyDescent="0.25">
      <c r="A17" s="77" t="s">
        <v>69</v>
      </c>
      <c r="B17" s="82"/>
      <c r="C17" s="48"/>
      <c r="D17" s="84"/>
      <c r="E17" s="84"/>
      <c r="F17" s="85" t="str">
        <f>Лист1!A13</f>
        <v>ГНБ № 10-1С</v>
      </c>
      <c r="G17" s="85"/>
      <c r="H17" s="85"/>
      <c r="I17" s="77" t="s">
        <v>70</v>
      </c>
      <c r="J17" s="82"/>
      <c r="K17" s="82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4.4" customHeight="1" spans="1:26" x14ac:dyDescent="0.25">
      <c r="A18" s="77" t="s">
        <v>71</v>
      </c>
      <c r="B18" s="82"/>
      <c r="C18" s="86" t="str">
        <f>Лист1!A6</f>
        <v>По адресу: г. Москва, ул. Кантемировская, д.60</v>
      </c>
      <c r="D18" s="86"/>
      <c r="E18" s="86"/>
      <c r="F18" s="86"/>
      <c r="G18" s="86"/>
      <c r="H18" s="86"/>
      <c r="I18" s="77"/>
      <c r="J18" s="82"/>
      <c r="K18" s="82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4.4" customHeight="1" spans="1:26" x14ac:dyDescent="0.25">
      <c r="A19" s="91"/>
      <c r="B19" s="89"/>
      <c r="C19" s="48"/>
      <c r="D19" s="92"/>
      <c r="E19" s="92"/>
      <c r="F19" s="93"/>
      <c r="G19" s="92"/>
      <c r="H19" s="92"/>
      <c r="I19" s="93"/>
      <c r="J19" s="82"/>
      <c r="K19" s="82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4.4" customHeight="1" spans="1:26" x14ac:dyDescent="0.25">
      <c r="A20" s="94" t="s">
        <v>72</v>
      </c>
      <c r="B20" s="77"/>
      <c r="C20" s="48"/>
      <c r="D20" s="85" t="str">
        <f>Лист1!A17</f>
        <v>АО "МОСИНЖПРОЕКТ"</v>
      </c>
      <c r="E20" s="85"/>
      <c r="F20" s="85"/>
      <c r="G20" s="92" t="s">
        <v>73</v>
      </c>
      <c r="H20" s="87" t="str">
        <f>Лист1!A15</f>
        <v>ИМ-19-4-Р-3.2Э-ЗП2</v>
      </c>
      <c r="I20" s="87"/>
      <c r="J20" s="87"/>
      <c r="K20" s="82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4.4" customHeight="1" spans="1:26" x14ac:dyDescent="0.25">
      <c r="A21" s="94"/>
      <c r="B21" s="77"/>
      <c r="C21" s="48"/>
      <c r="D21" s="93"/>
      <c r="E21" s="93"/>
      <c r="F21" s="93"/>
      <c r="G21" s="92"/>
      <c r="H21" s="93"/>
      <c r="I21" s="93"/>
      <c r="J21" s="93"/>
      <c r="K21" s="82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4.4" customHeight="1" spans="1:26" x14ac:dyDescent="0.25">
      <c r="A22" s="94" t="s">
        <v>74</v>
      </c>
      <c r="B22" s="77"/>
      <c r="C22" s="48"/>
      <c r="D22" s="93"/>
      <c r="E22" s="86" t="str">
        <f>Лист1!A40</f>
        <v> d=110 мм.</v>
      </c>
      <c r="F22" s="86"/>
      <c r="G22" s="86"/>
      <c r="H22" s="86"/>
      <c r="I22" s="86"/>
      <c r="J22" s="86"/>
      <c r="K22" s="82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x14ac:dyDescent="0.25">
      <c r="A23" s="91"/>
      <c r="B23" s="89"/>
      <c r="C23" s="48"/>
      <c r="D23" s="92"/>
      <c r="E23" s="70"/>
      <c r="F23" s="70"/>
      <c r="G23" s="92"/>
      <c r="H23" s="48"/>
      <c r="I23" s="48"/>
      <c r="J23" s="82"/>
      <c r="K23" s="82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4.4" customHeight="1" spans="1:26" x14ac:dyDescent="0.25">
      <c r="A24" s="94" t="s">
        <v>75</v>
      </c>
      <c r="B24" s="89"/>
      <c r="C24" s="48"/>
      <c r="D24" s="95" t="str">
        <f>Лист1!A19</f>
        <v>01.06.2024 г.</v>
      </c>
      <c r="E24" s="95"/>
      <c r="F24" s="95"/>
      <c r="G24" s="92"/>
      <c r="H24" s="70"/>
      <c r="I24" s="70"/>
      <c r="J24" s="82"/>
      <c r="K24" s="82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x14ac:dyDescent="0.25">
      <c r="A25" s="91"/>
      <c r="B25" s="89"/>
      <c r="C25" s="48"/>
      <c r="D25" s="70"/>
      <c r="E25" s="82"/>
      <c r="F25" s="82"/>
      <c r="G25" s="82"/>
      <c r="H25" s="82"/>
      <c r="I25" s="82"/>
      <c r="J25" s="82"/>
      <c r="K25" s="82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4.4" customHeight="1" spans="1:26" x14ac:dyDescent="0.25">
      <c r="A26" s="94" t="s">
        <v>76</v>
      </c>
      <c r="B26" s="89"/>
      <c r="C26" s="48"/>
      <c r="D26" s="96" t="str">
        <f>Лист1!A21</f>
        <v>03.06.2024 г.</v>
      </c>
      <c r="E26" s="96"/>
      <c r="F26" s="96"/>
      <c r="G26" s="82"/>
      <c r="H26" s="82"/>
      <c r="I26" s="82"/>
      <c r="J26" s="82"/>
      <c r="K26" s="82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x14ac:dyDescent="0.25">
      <c r="A27" s="91"/>
      <c r="B27" s="89"/>
      <c r="C27" s="48"/>
      <c r="D27" s="82"/>
      <c r="E27" s="82"/>
      <c r="F27" s="82"/>
      <c r="G27" s="82"/>
      <c r="H27" s="82"/>
      <c r="I27" s="82"/>
      <c r="J27" s="82"/>
      <c r="K27" s="82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x14ac:dyDescent="0.25">
      <c r="A28" s="80" t="s">
        <v>77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x14ac:dyDescent="0.25">
      <c r="A29" s="94" t="s">
        <v>78</v>
      </c>
      <c r="B29" s="89"/>
      <c r="C29" s="48"/>
      <c r="D29" s="82"/>
      <c r="E29" s="82"/>
      <c r="F29" s="82"/>
      <c r="G29" s="82"/>
      <c r="H29" s="82"/>
      <c r="I29" s="82"/>
      <c r="J29" s="82"/>
      <c r="K29" s="82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4.4" customHeight="1" spans="1:26" x14ac:dyDescent="0.25">
      <c r="A30" s="94" t="s">
        <v>79</v>
      </c>
      <c r="B30" s="89"/>
      <c r="C30" s="48"/>
      <c r="D30" s="82"/>
      <c r="E30" s="84"/>
      <c r="F30" s="84"/>
      <c r="G30" s="84"/>
      <c r="H30" s="89"/>
      <c r="I30" s="82"/>
      <c r="J30" s="82"/>
      <c r="K30" s="82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4.4" customHeight="1" spans="1:26" x14ac:dyDescent="0.25">
      <c r="A31" s="91"/>
      <c r="B31" s="89"/>
      <c r="C31" s="48"/>
      <c r="D31" s="82"/>
      <c r="E31" s="93"/>
      <c r="F31" s="93"/>
      <c r="G31" s="93"/>
      <c r="H31" s="89"/>
      <c r="I31" s="82"/>
      <c r="J31" s="82"/>
      <c r="K31" s="82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x14ac:dyDescent="0.25">
      <c r="A32" s="91"/>
      <c r="B32" s="89"/>
      <c r="C32" s="48"/>
      <c r="D32" s="82"/>
      <c r="E32" s="82"/>
      <c r="F32" s="82"/>
      <c r="G32" s="82"/>
      <c r="H32" s="82"/>
      <c r="I32" s="82"/>
      <c r="J32" s="82"/>
      <c r="K32" s="82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5" spans="1:9" x14ac:dyDescent="0.25">
      <c r="A35" s="77" t="str">
        <f>Лист1!A30</f>
        <v>Представитель Южного РЭС АО "ОЭК" ____________________</v>
      </c>
      <c r="C35" s="77"/>
      <c r="D35" s="77"/>
      <c r="E35" s="77"/>
      <c r="F35" s="77"/>
      <c r="G35" s="77"/>
      <c r="H35" s="77"/>
      <c r="I35" s="77"/>
    </row>
    <row r="36" spans="1:9" x14ac:dyDescent="0.25">
      <c r="A36" s="77"/>
      <c r="C36" s="77"/>
      <c r="D36" s="77"/>
      <c r="E36" s="77"/>
      <c r="F36" s="77"/>
      <c r="G36" s="77"/>
      <c r="H36" s="77"/>
      <c r="I36" s="77"/>
    </row>
    <row r="37" spans="1:9" x14ac:dyDescent="0.25">
      <c r="A37" s="77" t="str">
        <f>Лист1!A31</f>
        <v>Начальник участка ООО «Резонанс-Энерго» ______________________Борков Е.А</v>
      </c>
      <c r="C37" s="77"/>
      <c r="D37" s="77"/>
      <c r="E37" s="77"/>
      <c r="F37" s="77"/>
      <c r="G37" s="77"/>
      <c r="H37" s="77"/>
      <c r="I37" s="77"/>
    </row>
    <row r="38" spans="1:9" x14ac:dyDescent="0.25">
      <c r="A38" s="77"/>
      <c r="C38" s="77"/>
      <c r="D38" s="77"/>
      <c r="E38" s="77"/>
      <c r="F38" s="77"/>
      <c r="G38" s="77"/>
      <c r="H38" s="77"/>
      <c r="I38" s="77"/>
    </row>
    <row r="39" spans="1:9" x14ac:dyDescent="0.25">
      <c r="A39" s="77"/>
      <c r="C39" s="77"/>
      <c r="D39" s="77"/>
      <c r="E39" s="77"/>
      <c r="F39" s="77"/>
      <c r="G39" s="77"/>
      <c r="H39" s="77"/>
      <c r="I39" s="77"/>
    </row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</sheetData>
  <mergeCells count="14">
    <mergeCell ref="C3:K3"/>
    <mergeCell ref="G4:J4"/>
    <mergeCell ref="A5:B5"/>
    <mergeCell ref="G5:K5"/>
    <mergeCell ref="A6:K6"/>
    <mergeCell ref="A7:K7"/>
    <mergeCell ref="E14:G14"/>
    <mergeCell ref="F17:H17"/>
    <mergeCell ref="C18:H18"/>
    <mergeCell ref="D20:F20"/>
    <mergeCell ref="E22:J22"/>
    <mergeCell ref="D24:F24"/>
    <mergeCell ref="D26:F26"/>
    <mergeCell ref="A28:K28"/>
  </mergeCells>
  <pageMargins left="0.25" right="0.25" top="0.75" bottom="0.75" header="0.3" footer="0.3"/>
  <pageSetup paperSize="9" orientation="portrait" horizontalDpi="4294967295" verticalDpi="4294967295" scale="9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76"/>
  <sheetViews>
    <sheetView workbookViewId="0" zoomScale="100" zoomScaleNormal="100" view="pageBreakPreview">
      <selection activeCell="D29" sqref="D29"/>
    </sheetView>
  </sheetViews>
  <sheetFormatPr defaultRowHeight="13.8" outlineLevelRow="0" outlineLevelCol="0" x14ac:dyDescent="0" defaultColWidth="9.109375" customHeight="1"/>
  <cols>
    <col min="1" max="1" width="4.109375" style="48" customWidth="1"/>
    <col min="2" max="2" width="13.6640625" style="48" customWidth="1"/>
    <col min="3" max="3" width="16.5546875" style="48" customWidth="1"/>
    <col min="4" max="4" width="10.88671875" style="48" customWidth="1"/>
    <col min="5" max="5" width="6.44140625" style="48" customWidth="1"/>
    <col min="6" max="6" width="8.5546875" style="48" customWidth="1"/>
    <col min="7" max="7" width="10.88671875" style="48" customWidth="1"/>
    <col min="8" max="9" width="9.33203125" style="48" customWidth="1"/>
    <col min="10" max="10" width="8.44140625" style="48" customWidth="1"/>
    <col min="11" max="11" width="13" style="48" customWidth="1"/>
    <col min="12" max="12" width="0.33203125" style="48" customWidth="1"/>
    <col min="13" max="16384" width="9.109375" style="48" customWidth="1"/>
  </cols>
  <sheetData>
    <row r="1" spans="2:11" x14ac:dyDescent="0.25">
      <c r="B1" s="69" t="s">
        <v>46</v>
      </c>
      <c r="C1" s="70" t="str">
        <f>Лист1!A35</f>
        <v>ГКУ «УДМС»</v>
      </c>
      <c r="D1" s="70"/>
      <c r="E1" s="70"/>
      <c r="F1" s="70"/>
      <c r="G1" s="71"/>
      <c r="H1" s="70"/>
      <c r="I1" s="70"/>
      <c r="J1" s="70"/>
      <c r="K1" s="70"/>
    </row>
    <row r="2" spans="2:11" x14ac:dyDescent="0.25">
      <c r="B2" s="69" t="s">
        <v>64</v>
      </c>
      <c r="C2" s="70" t="str">
        <f>Лист1!A36</f>
        <v>ООО «Резонанс-Энерго»</v>
      </c>
      <c r="D2" s="70"/>
      <c r="E2" s="70"/>
      <c r="F2" s="70"/>
      <c r="G2" s="71"/>
      <c r="H2" s="70"/>
      <c r="I2" s="70"/>
      <c r="J2" s="70"/>
      <c r="K2" s="70"/>
    </row>
    <row r="3" ht="48.75" customHeight="1" spans="2:11" x14ac:dyDescent="0.25">
      <c r="B3" s="72" t="s">
        <v>48</v>
      </c>
      <c r="C3" s="113" t="str">
        <f>Лист1!A4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3"/>
      <c r="E3" s="113"/>
      <c r="F3" s="113"/>
      <c r="G3" s="113"/>
      <c r="H3" s="113"/>
      <c r="I3" s="113"/>
      <c r="J3" s="113"/>
      <c r="K3" s="113"/>
    </row>
    <row r="4" spans="2:11" x14ac:dyDescent="0.25">
      <c r="B4" s="72" t="s">
        <v>49</v>
      </c>
      <c r="C4" s="74" t="str">
        <f>Лист1!A25</f>
        <v>03.06.2024 г.</v>
      </c>
      <c r="G4" s="75"/>
      <c r="H4" s="75"/>
      <c r="I4" s="75"/>
      <c r="J4" s="75"/>
      <c r="K4" s="76"/>
    </row>
    <row r="5" ht="9.75" customHeight="1" spans="1:19" x14ac:dyDescent="0.25">
      <c r="A5" s="77"/>
      <c r="B5" s="77"/>
      <c r="G5" s="78"/>
      <c r="H5" s="78"/>
      <c r="I5" s="78"/>
      <c r="J5" s="78"/>
      <c r="K5" s="78"/>
      <c r="O5" s="79"/>
      <c r="P5" s="79"/>
      <c r="Q5" s="79"/>
      <c r="R5" s="79"/>
      <c r="S5" s="79"/>
    </row>
    <row r="6" ht="15.75" customHeight="1" spans="1:11" x14ac:dyDescent="0.25">
      <c r="A6" s="80" t="s">
        <v>50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ht="15.75" customHeight="1" spans="1:26" x14ac:dyDescent="0.25">
      <c r="A7" s="80" t="s">
        <v>111</v>
      </c>
      <c r="B7" s="80"/>
      <c r="C7" s="80"/>
      <c r="D7" s="80"/>
      <c r="E7" s="80"/>
      <c r="F7" s="80"/>
      <c r="G7" s="80"/>
      <c r="H7" s="80"/>
      <c r="I7" s="80"/>
      <c r="J7" s="80"/>
      <c r="K7" s="80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1.25" customHeight="1" spans="1:26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 spans="1:26" x14ac:dyDescent="0.25">
      <c r="A9" s="79" t="s">
        <v>52</v>
      </c>
      <c r="B9" s="79"/>
      <c r="C9" s="79"/>
      <c r="D9" s="80"/>
      <c r="E9" s="80"/>
      <c r="F9" s="80"/>
      <c r="G9" s="80"/>
      <c r="H9" s="80"/>
      <c r="I9" s="80"/>
      <c r="J9" s="80"/>
      <c r="K9" s="80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5.75" customHeight="1" spans="1:26" x14ac:dyDescent="0.25">
      <c r="A10" s="48"/>
      <c r="B10" s="48"/>
      <c r="C10" s="48"/>
      <c r="D10" s="77"/>
      <c r="E10" s="77"/>
      <c r="F10" s="77"/>
      <c r="G10" s="77"/>
      <c r="H10" s="77"/>
      <c r="I10" s="77"/>
      <c r="J10" s="77"/>
      <c r="K10" s="77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8" customHeight="1" spans="1:26" x14ac:dyDescent="0.25">
      <c r="A11" s="48" t="str">
        <f>Лист1!A9</f>
        <v>Представитель ЮРЭС АО "ОЭК" </v>
      </c>
      <c r="B11" s="83"/>
      <c r="D11" s="48"/>
      <c r="E11" s="48"/>
      <c r="F11" s="48"/>
      <c r="G11" s="48"/>
      <c r="H11" s="48"/>
      <c r="I11" s="48"/>
      <c r="J11" s="48"/>
      <c r="K11" s="48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5.75" customHeight="1" spans="1:26" x14ac:dyDescent="0.25">
      <c r="A12" s="77" t="str">
        <f>Лист1!A10</f>
        <v>Начальник участка ООО «Резонанс-Энерго» Борков Е.А</v>
      </c>
      <c r="B12" s="83"/>
      <c r="D12" s="77"/>
      <c r="E12" s="77"/>
      <c r="F12" s="77"/>
      <c r="G12" s="77"/>
      <c r="H12" s="77"/>
      <c r="I12" s="77"/>
      <c r="J12" s="77"/>
      <c r="K12" s="77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5.75" customHeight="1" spans="1:26" x14ac:dyDescent="0.25">
      <c r="A13" s="80"/>
      <c r="B13" s="80"/>
      <c r="C13" s="48"/>
      <c r="D13" s="80"/>
      <c r="E13" s="80"/>
      <c r="F13" s="80"/>
      <c r="G13" s="80"/>
      <c r="H13" s="80"/>
      <c r="I13" s="80"/>
      <c r="J13" s="80"/>
      <c r="K13" s="80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5.75" customHeight="1" spans="1:26" x14ac:dyDescent="0.25">
      <c r="A14" s="79" t="s">
        <v>66</v>
      </c>
      <c r="B14" s="82"/>
      <c r="C14" s="48"/>
      <c r="D14" s="82"/>
      <c r="E14" s="85" t="str">
        <f>Лист1!A23</f>
        <v>ООО «Резонанс-Энерго»</v>
      </c>
      <c r="F14" s="85"/>
      <c r="G14" s="85"/>
      <c r="H14" s="84"/>
      <c r="I14" s="84"/>
      <c r="J14" s="84"/>
      <c r="K14" s="48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5.75" customHeight="1" spans="1:26" x14ac:dyDescent="0.25">
      <c r="A15" s="79" t="s">
        <v>67</v>
      </c>
      <c r="B15" s="84"/>
      <c r="C15" s="84"/>
      <c r="D15" s="48"/>
      <c r="E15" s="48"/>
      <c r="F15" s="84"/>
      <c r="G15" s="84"/>
      <c r="H15" s="84"/>
      <c r="I15" s="84"/>
      <c r="J15" s="48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5.75" customHeight="1" spans="1:26" x14ac:dyDescent="0.25">
      <c r="A16" s="77" t="s">
        <v>68</v>
      </c>
      <c r="B16" s="82"/>
      <c r="C16" s="48"/>
      <c r="D16" s="80"/>
      <c r="E16" s="80"/>
      <c r="F16" s="80"/>
      <c r="G16" s="80"/>
      <c r="H16" s="80"/>
      <c r="I16" s="80"/>
      <c r="J16" s="80"/>
      <c r="K16" s="80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5.75" customHeight="1" spans="1:26" x14ac:dyDescent="0.25">
      <c r="A17" s="77" t="s">
        <v>112</v>
      </c>
      <c r="B17" s="82"/>
      <c r="C17" s="48"/>
      <c r="D17" s="85" t="str">
        <f>Лист1!A13</f>
        <v>ГНБ № 10-1С</v>
      </c>
      <c r="E17" s="85"/>
      <c r="F17" s="85"/>
      <c r="G17" s="85"/>
      <c r="H17" s="77" t="s">
        <v>70</v>
      </c>
      <c r="J17" s="82"/>
      <c r="K17" s="82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5.75" customHeight="1" spans="1:26" x14ac:dyDescent="0.25">
      <c r="A18" s="77" t="s">
        <v>71</v>
      </c>
      <c r="B18" s="82"/>
      <c r="C18" s="86" t="str">
        <f>Лист1!A6</f>
        <v>По адресу: г. Москва, ул. Кантемировская, д.60</v>
      </c>
      <c r="D18" s="86"/>
      <c r="E18" s="86"/>
      <c r="F18" s="86"/>
      <c r="G18" s="86"/>
      <c r="H18" s="86"/>
      <c r="I18" s="77"/>
      <c r="J18" s="82"/>
      <c r="K18" s="82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5.75" customHeight="1" spans="1:26" x14ac:dyDescent="0.25">
      <c r="A19" s="91"/>
      <c r="B19" s="89"/>
      <c r="C19" s="48"/>
      <c r="D19" s="92"/>
      <c r="E19" s="92"/>
      <c r="F19" s="93"/>
      <c r="G19" s="92"/>
      <c r="H19" s="92"/>
      <c r="I19" s="93"/>
      <c r="J19" s="82"/>
      <c r="K19" s="82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5.75" customHeight="1" spans="1:26" x14ac:dyDescent="0.25">
      <c r="A20" s="94" t="s">
        <v>72</v>
      </c>
      <c r="B20" s="77"/>
      <c r="C20" s="48"/>
      <c r="D20" s="85" t="str">
        <f>Лист1!A17</f>
        <v>АО "МОСИНЖПРОЕКТ"</v>
      </c>
      <c r="E20" s="85"/>
      <c r="F20" s="85"/>
      <c r="G20" s="92" t="s">
        <v>73</v>
      </c>
      <c r="H20" s="114" t="str">
        <f>Лист1!A15</f>
        <v>ИМ-19-4-Р-3.2Э-ЗП2</v>
      </c>
      <c r="I20" s="114"/>
      <c r="J20" s="114"/>
      <c r="K20" s="82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5.75" customHeight="1" spans="1:26" x14ac:dyDescent="0.25">
      <c r="A21" s="94"/>
      <c r="B21" s="77"/>
      <c r="C21" s="48"/>
      <c r="D21" s="93"/>
      <c r="E21" s="93"/>
      <c r="F21" s="93"/>
      <c r="G21" s="92"/>
      <c r="H21" s="93"/>
      <c r="I21" s="93"/>
      <c r="J21" s="93"/>
      <c r="K21" s="82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33" customHeight="1" spans="1:26" x14ac:dyDescent="0.25">
      <c r="A22" s="94" t="s">
        <v>113</v>
      </c>
      <c r="B22" s="77"/>
      <c r="C22" s="48"/>
      <c r="D22" s="93"/>
      <c r="E22" s="114" t="str">
        <f>Лист1!A39</f>
        <v>Труба "ПЭ тип "С" 110*6,3 техническая (L012) (паспорт  качества от 23.08.2021г.)</v>
      </c>
      <c r="F22" s="114"/>
      <c r="G22" s="114"/>
      <c r="H22" s="114"/>
      <c r="I22" s="114"/>
      <c r="J22" s="114"/>
      <c r="K22" s="82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5.75" customHeight="1" spans="1:26" x14ac:dyDescent="0.25">
      <c r="A23" s="94"/>
      <c r="B23" s="77"/>
      <c r="C23" s="48"/>
      <c r="D23" s="93"/>
      <c r="E23" s="93"/>
      <c r="F23" s="93"/>
      <c r="G23" s="92"/>
      <c r="H23" s="93"/>
      <c r="I23" s="93"/>
      <c r="J23" s="93"/>
      <c r="K23" s="82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5.75" customHeight="1" spans="1:26" x14ac:dyDescent="0.25">
      <c r="A24" s="94" t="s">
        <v>114</v>
      </c>
      <c r="B24" s="77"/>
      <c r="C24" s="48"/>
      <c r="D24" s="93"/>
      <c r="E24" s="86" t="str">
        <f>Лист1!A40</f>
        <v> d=110 мм.</v>
      </c>
      <c r="F24" s="86"/>
      <c r="G24" s="86"/>
      <c r="H24" s="86"/>
      <c r="I24" s="86"/>
      <c r="J24" s="86"/>
      <c r="K24" s="82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5.75" customHeight="1" spans="1:26" x14ac:dyDescent="0.25">
      <c r="A25" s="91"/>
      <c r="B25" s="89"/>
      <c r="C25" s="48"/>
      <c r="D25" s="92"/>
      <c r="E25" s="70"/>
      <c r="F25" s="70"/>
      <c r="G25" s="92"/>
      <c r="H25" s="48"/>
      <c r="I25" s="48"/>
      <c r="J25" s="82"/>
      <c r="K25" s="82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5.75" customHeight="1" spans="1:26" x14ac:dyDescent="0.25">
      <c r="A26" s="94" t="s">
        <v>115</v>
      </c>
      <c r="B26" s="89"/>
      <c r="C26" s="48"/>
      <c r="D26" s="95" t="str">
        <f>Лист1!A19</f>
        <v>01.06.2024 г.</v>
      </c>
      <c r="E26" s="95"/>
      <c r="F26" s="95"/>
      <c r="G26" s="92"/>
      <c r="H26" s="70"/>
      <c r="I26" s="70"/>
      <c r="J26" s="82"/>
      <c r="K26" s="82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5.75" customHeight="1" spans="1:26" x14ac:dyDescent="0.25">
      <c r="A27" s="91"/>
      <c r="B27" s="89"/>
      <c r="C27" s="48"/>
      <c r="D27" s="70"/>
      <c r="E27" s="82"/>
      <c r="F27" s="82"/>
      <c r="G27" s="82"/>
      <c r="H27" s="82"/>
      <c r="I27" s="82"/>
      <c r="J27" s="82"/>
      <c r="K27" s="82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5.75" customHeight="1" spans="1:26" x14ac:dyDescent="0.25">
      <c r="A28" s="94" t="s">
        <v>116</v>
      </c>
      <c r="B28" s="89"/>
      <c r="C28" s="48"/>
      <c r="D28" s="95" t="str">
        <f>Лист1!A21</f>
        <v>03.06.2024 г.</v>
      </c>
      <c r="E28" s="95"/>
      <c r="F28" s="95"/>
      <c r="G28" s="82"/>
      <c r="H28" s="82"/>
      <c r="I28" s="82"/>
      <c r="J28" s="82"/>
      <c r="K28" s="82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5.75" customHeight="1" spans="1:26" x14ac:dyDescent="0.25">
      <c r="A29" s="91"/>
      <c r="B29" s="89"/>
      <c r="C29" s="48"/>
      <c r="D29" s="82"/>
      <c r="E29" s="82"/>
      <c r="F29" s="82"/>
      <c r="G29" s="82"/>
      <c r="H29" s="82"/>
      <c r="I29" s="82"/>
      <c r="J29" s="82"/>
      <c r="K29" s="82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5.75" customHeight="1" spans="1:26" x14ac:dyDescent="0.25">
      <c r="A30" s="80" t="s">
        <v>77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5.75" customHeight="1" spans="1:26" x14ac:dyDescent="0.25">
      <c r="A31" s="94" t="s">
        <v>78</v>
      </c>
      <c r="B31" s="89"/>
      <c r="C31" s="48"/>
      <c r="D31" s="82"/>
      <c r="E31" s="82"/>
      <c r="F31" s="82"/>
      <c r="G31" s="82"/>
      <c r="H31" s="82"/>
      <c r="I31" s="82"/>
      <c r="J31" s="82"/>
      <c r="K31" s="82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5.75" customHeight="1" spans="1:26" x14ac:dyDescent="0.25">
      <c r="A32" s="94" t="s">
        <v>106</v>
      </c>
      <c r="B32" s="89"/>
      <c r="C32" s="48"/>
      <c r="D32" s="82"/>
      <c r="E32" s="84"/>
      <c r="F32" s="84"/>
      <c r="G32" s="84"/>
      <c r="H32" s="89"/>
      <c r="I32" s="82"/>
      <c r="J32" s="82"/>
      <c r="K32" s="82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5.75" customHeight="1" spans="1:26" x14ac:dyDescent="0.25">
      <c r="A33" s="91"/>
      <c r="B33" s="89"/>
      <c r="C33" s="48"/>
      <c r="D33" s="82"/>
      <c r="E33" s="82"/>
      <c r="F33" s="82"/>
      <c r="G33" s="82"/>
      <c r="H33" s="82"/>
      <c r="I33" s="82"/>
      <c r="J33" s="82"/>
      <c r="K33" s="82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5.75" customHeight="1" x14ac:dyDescent="0.25"/>
    <row r="35" ht="15.75" customHeight="1" x14ac:dyDescent="0.25"/>
    <row r="36" ht="15.75" customHeight="1" spans="1:9" x14ac:dyDescent="0.25">
      <c r="A36" s="77" t="str">
        <f>Лист1!A30</f>
        <v>Представитель Южного РЭС АО "ОЭК" ____________________</v>
      </c>
      <c r="C36" s="77"/>
      <c r="D36" s="77"/>
      <c r="E36" s="77"/>
      <c r="F36" s="77"/>
      <c r="G36" s="77"/>
      <c r="H36" s="77"/>
      <c r="I36" s="77"/>
    </row>
    <row r="37" ht="15.75" customHeight="1" spans="1:9" x14ac:dyDescent="0.25">
      <c r="A37" s="77"/>
      <c r="C37" s="77"/>
      <c r="D37" s="77"/>
      <c r="E37" s="77"/>
      <c r="F37" s="77"/>
      <c r="G37" s="77"/>
      <c r="H37" s="77"/>
      <c r="I37" s="77"/>
    </row>
    <row r="38" ht="15.75" customHeight="1" spans="1:9" x14ac:dyDescent="0.25">
      <c r="A38" s="77" t="str">
        <f>Лист1!A31</f>
        <v>Начальник участка ООО «Резонанс-Энерго» ______________________Борков Е.А</v>
      </c>
      <c r="C38" s="77"/>
      <c r="D38" s="77"/>
      <c r="E38" s="77"/>
      <c r="F38" s="77"/>
      <c r="G38" s="77"/>
      <c r="H38" s="77"/>
      <c r="I38" s="77"/>
    </row>
    <row r="39" ht="15.75" customHeight="1" hidden="1" spans="1:9" x14ac:dyDescent="0.25">
      <c r="A39" s="77"/>
      <c r="C39" s="77"/>
      <c r="D39" s="77"/>
      <c r="E39" s="77"/>
      <c r="F39" s="77"/>
      <c r="G39" s="77"/>
      <c r="H39" s="77"/>
      <c r="I39" s="77"/>
    </row>
    <row r="40" ht="15.75" customHeight="1" spans="1:9" x14ac:dyDescent="0.25">
      <c r="A40" s="77"/>
      <c r="C40" s="77"/>
      <c r="D40" s="77"/>
      <c r="E40" s="77"/>
      <c r="F40" s="77"/>
      <c r="G40" s="77"/>
      <c r="H40" s="77"/>
      <c r="I40" s="77"/>
    </row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</sheetData>
  <mergeCells count="16">
    <mergeCell ref="C3:K3"/>
    <mergeCell ref="G4:J4"/>
    <mergeCell ref="A5:B5"/>
    <mergeCell ref="G5:K5"/>
    <mergeCell ref="A6:K6"/>
    <mergeCell ref="A7:K7"/>
    <mergeCell ref="E14:G14"/>
    <mergeCell ref="D17:G17"/>
    <mergeCell ref="C18:H18"/>
    <mergeCell ref="D20:F20"/>
    <mergeCell ref="H20:J20"/>
    <mergeCell ref="E22:J22"/>
    <mergeCell ref="E24:J24"/>
    <mergeCell ref="D26:F26"/>
    <mergeCell ref="D28:F28"/>
    <mergeCell ref="A30:K30"/>
  </mergeCells>
  <pageMargins left="0.25" right="0.25" top="0.75" bottom="0.75" header="0.3" footer="0.3"/>
  <pageSetup paperSize="9" orientation="portrait" horizontalDpi="4294967295" verticalDpi="4294967295" scale="9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77"/>
  <sheetViews>
    <sheetView workbookViewId="0" zoomScale="100" zoomScaleNormal="100" view="pageBreakPreview">
      <selection activeCell="E20" sqref="E20"/>
    </sheetView>
  </sheetViews>
  <sheetFormatPr defaultRowHeight="13.8" outlineLevelRow="0" outlineLevelCol="0" x14ac:dyDescent="0" defaultColWidth="9.109375" customHeight="1"/>
  <cols>
    <col min="1" max="1" width="4.109375" style="48" customWidth="1"/>
    <col min="2" max="2" width="13.6640625" style="48" customWidth="1"/>
    <col min="3" max="3" width="16.5546875" style="48" customWidth="1"/>
    <col min="4" max="4" width="10.88671875" style="48" customWidth="1"/>
    <col min="5" max="5" width="6.44140625" style="48" customWidth="1"/>
    <col min="6" max="6" width="16.6640625" style="48" customWidth="1"/>
    <col min="7" max="7" width="10.88671875" style="48" customWidth="1"/>
    <col min="8" max="9" width="9.33203125" style="48" customWidth="1"/>
    <col min="10" max="10" width="8.44140625" style="48" customWidth="1"/>
    <col min="11" max="11" width="13" style="48" customWidth="1"/>
    <col min="12" max="12" width="0.33203125" style="48" customWidth="1"/>
    <col min="13" max="16384" width="9.109375" style="48" customWidth="1"/>
  </cols>
  <sheetData>
    <row r="1" spans="2:11" x14ac:dyDescent="0.25">
      <c r="B1" s="69" t="s">
        <v>46</v>
      </c>
      <c r="C1" s="70" t="str">
        <f>Лист1!A35</f>
        <v>ГКУ «УДМС»</v>
      </c>
      <c r="D1" s="70"/>
      <c r="E1" s="70"/>
      <c r="F1" s="70"/>
      <c r="G1" s="71"/>
      <c r="H1" s="70"/>
      <c r="I1" s="70"/>
      <c r="J1" s="70"/>
      <c r="K1" s="70"/>
    </row>
    <row r="2" spans="2:11" x14ac:dyDescent="0.25">
      <c r="B2" s="69" t="s">
        <v>64</v>
      </c>
      <c r="C2" s="70" t="str">
        <f>Лист1!A36</f>
        <v>ООО «Резонанс-Энерго»</v>
      </c>
      <c r="D2" s="70"/>
      <c r="E2" s="70"/>
      <c r="F2" s="70"/>
      <c r="G2" s="71"/>
      <c r="H2" s="70"/>
      <c r="I2" s="70"/>
      <c r="J2" s="70"/>
      <c r="K2" s="70"/>
    </row>
    <row r="3" ht="39.75" customHeight="1" spans="2:11" x14ac:dyDescent="0.25">
      <c r="B3" s="72" t="s">
        <v>48</v>
      </c>
      <c r="C3" s="113" t="str">
        <f>Лист1!A4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3"/>
      <c r="E3" s="113"/>
      <c r="F3" s="113"/>
      <c r="G3" s="113"/>
      <c r="H3" s="113"/>
      <c r="I3" s="113"/>
      <c r="J3" s="113"/>
      <c r="K3" s="113"/>
    </row>
    <row r="4" spans="2:11" x14ac:dyDescent="0.25">
      <c r="B4" s="72" t="s">
        <v>49</v>
      </c>
      <c r="C4" s="74" t="str">
        <f>Лист1!A25</f>
        <v>03.06.2024 г.</v>
      </c>
      <c r="G4" s="75"/>
      <c r="H4" s="75"/>
      <c r="I4" s="75"/>
      <c r="J4" s="75"/>
      <c r="K4" s="76"/>
    </row>
    <row r="5" ht="9.75" customHeight="1" spans="1:19" x14ac:dyDescent="0.25">
      <c r="A5" s="77"/>
      <c r="B5" s="77"/>
      <c r="G5" s="78"/>
      <c r="H5" s="78"/>
      <c r="I5" s="78"/>
      <c r="J5" s="78"/>
      <c r="K5" s="78"/>
      <c r="O5" s="79"/>
      <c r="P5" s="79"/>
      <c r="Q5" s="79"/>
      <c r="R5" s="79"/>
      <c r="S5" s="79"/>
    </row>
    <row r="6" ht="15.75" customHeight="1" spans="1:11" x14ac:dyDescent="0.25">
      <c r="A6" s="80" t="s">
        <v>50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ht="15.75" customHeight="1" spans="1:26" x14ac:dyDescent="0.25">
      <c r="A7" s="80" t="s">
        <v>119</v>
      </c>
      <c r="B7" s="80"/>
      <c r="C7" s="80"/>
      <c r="D7" s="80"/>
      <c r="E7" s="80"/>
      <c r="F7" s="80"/>
      <c r="G7" s="80"/>
      <c r="H7" s="80"/>
      <c r="I7" s="80"/>
      <c r="J7" s="80"/>
      <c r="K7" s="80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1.25" customHeight="1" spans="1:26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 spans="1:26" x14ac:dyDescent="0.25">
      <c r="A9" s="79" t="s">
        <v>52</v>
      </c>
      <c r="B9" s="79"/>
      <c r="C9" s="79"/>
      <c r="D9" s="80"/>
      <c r="E9" s="80"/>
      <c r="F9" s="80"/>
      <c r="G9" s="80"/>
      <c r="H9" s="80"/>
      <c r="I9" s="80"/>
      <c r="J9" s="80"/>
      <c r="K9" s="80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5.75" customHeight="1" spans="1:26" x14ac:dyDescent="0.25">
      <c r="A10" s="48"/>
      <c r="B10" s="48"/>
      <c r="C10" s="48"/>
      <c r="D10" s="77"/>
      <c r="E10" s="77"/>
      <c r="F10" s="77"/>
      <c r="G10" s="77"/>
      <c r="H10" s="77"/>
      <c r="I10" s="77"/>
      <c r="J10" s="77"/>
      <c r="K10" s="77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8" customHeight="1" spans="1:26" x14ac:dyDescent="0.25">
      <c r="A11" s="48" t="str">
        <f>Лист1!A9</f>
        <v>Представитель ЮРЭС АО "ОЭК" </v>
      </c>
      <c r="B11" s="83"/>
      <c r="D11" s="48"/>
      <c r="E11" s="48"/>
      <c r="F11" s="48"/>
      <c r="G11" s="48"/>
      <c r="H11" s="48"/>
      <c r="I11" s="48"/>
      <c r="J11" s="48"/>
      <c r="K11" s="48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5.75" customHeight="1" spans="1:26" x14ac:dyDescent="0.25">
      <c r="A12" s="77" t="str">
        <f>Лист1!A10</f>
        <v>Начальник участка ООО «Резонанс-Энерго» Борков Е.А</v>
      </c>
      <c r="B12" s="83"/>
      <c r="D12" s="77"/>
      <c r="E12" s="77"/>
      <c r="F12" s="77"/>
      <c r="G12" s="77"/>
      <c r="H12" s="77"/>
      <c r="I12" s="77"/>
      <c r="J12" s="77"/>
      <c r="K12" s="77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5.75" customHeight="1" spans="1:26" x14ac:dyDescent="0.25">
      <c r="A13" s="48" t="str">
        <f>Лист1!A11</f>
        <v> </v>
      </c>
      <c r="B13" s="80"/>
      <c r="D13" s="80"/>
      <c r="E13" s="80"/>
      <c r="F13" s="80"/>
      <c r="G13" s="80"/>
      <c r="H13" s="80"/>
      <c r="I13" s="80"/>
      <c r="J13" s="80"/>
      <c r="K13" s="80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5.75" customHeight="1" spans="1:26" x14ac:dyDescent="0.25">
      <c r="A14" s="79" t="s">
        <v>66</v>
      </c>
      <c r="B14" s="82"/>
      <c r="C14" s="48"/>
      <c r="D14" s="82"/>
      <c r="E14" s="85" t="str">
        <f>Лист1!A23</f>
        <v>ООО «Резонанс-Энерго»</v>
      </c>
      <c r="F14" s="85"/>
      <c r="G14" s="85"/>
      <c r="H14" s="84"/>
      <c r="I14" s="84"/>
      <c r="J14" s="84"/>
      <c r="K14" s="48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5.75" customHeight="1" spans="1:26" x14ac:dyDescent="0.25">
      <c r="A15" s="84" t="s">
        <v>67</v>
      </c>
      <c r="B15" s="84"/>
      <c r="C15" s="84"/>
      <c r="D15" s="48"/>
      <c r="E15" s="48"/>
      <c r="F15" s="84"/>
      <c r="G15" s="84"/>
      <c r="H15" s="84"/>
      <c r="I15" s="84"/>
      <c r="J15" s="48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5.75" customHeight="1" spans="1:26" x14ac:dyDescent="0.25">
      <c r="A16" s="77" t="s">
        <v>68</v>
      </c>
      <c r="B16" s="82"/>
      <c r="C16" s="48"/>
      <c r="D16" s="80"/>
      <c r="E16" s="80"/>
      <c r="F16" s="80"/>
      <c r="G16" s="80"/>
      <c r="H16" s="80"/>
      <c r="I16" s="80"/>
      <c r="J16" s="80"/>
      <c r="K16" s="80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5.75" customHeight="1" spans="1:26" x14ac:dyDescent="0.25">
      <c r="A17" s="77" t="s">
        <v>120</v>
      </c>
      <c r="B17" s="82"/>
      <c r="C17" s="48"/>
      <c r="D17" s="84"/>
      <c r="E17" s="85" t="str">
        <f>Лист1!A13</f>
        <v>ГНБ № 10-1С</v>
      </c>
      <c r="F17" s="85"/>
      <c r="G17" s="85"/>
      <c r="H17" s="77" t="s">
        <v>121</v>
      </c>
      <c r="J17" s="82"/>
      <c r="K17" s="82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5.75" customHeight="1" spans="1:26" x14ac:dyDescent="0.25">
      <c r="A18" s="77" t="s">
        <v>71</v>
      </c>
      <c r="B18" s="82"/>
      <c r="C18" s="86" t="str">
        <f>Лист1!A6</f>
        <v>По адресу: г. Москва, ул. Кантемировская, д.60</v>
      </c>
      <c r="D18" s="86"/>
      <c r="E18" s="86"/>
      <c r="F18" s="86"/>
      <c r="G18" s="86"/>
      <c r="H18" s="86"/>
      <c r="I18" s="77"/>
      <c r="J18" s="82"/>
      <c r="K18" s="82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5.75" customHeight="1" spans="1:26" x14ac:dyDescent="0.25">
      <c r="A19" s="91"/>
      <c r="B19" s="89"/>
      <c r="C19" s="48"/>
      <c r="D19" s="92"/>
      <c r="E19" s="92"/>
      <c r="F19" s="93"/>
      <c r="G19" s="92"/>
      <c r="H19" s="92"/>
      <c r="I19" s="93"/>
      <c r="J19" s="82"/>
      <c r="K19" s="82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5.75" customHeight="1" spans="1:26" x14ac:dyDescent="0.25">
      <c r="A20" s="115" t="s">
        <v>122</v>
      </c>
      <c r="B20" s="115"/>
      <c r="C20" s="115"/>
      <c r="D20" s="84"/>
      <c r="E20" s="116">
        <f>Лист1!H43</f>
        <v>6.609230769230769</v>
      </c>
      <c r="F20" s="85"/>
      <c r="G20" s="48"/>
      <c r="H20" s="48"/>
      <c r="I20" s="84"/>
      <c r="J20" s="84"/>
      <c r="K20" s="82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5.75" customHeight="1" spans="1:26" x14ac:dyDescent="0.25">
      <c r="A21" s="94"/>
      <c r="B21" s="77"/>
      <c r="C21" s="48"/>
      <c r="D21" s="93"/>
      <c r="E21" s="93"/>
      <c r="F21" s="93"/>
      <c r="G21" s="92"/>
      <c r="H21" s="84"/>
      <c r="I21" s="84"/>
      <c r="J21" s="84"/>
      <c r="K21" s="82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5.75" customHeight="1" spans="1:26" x14ac:dyDescent="0.25">
      <c r="A22" s="94" t="s">
        <v>123</v>
      </c>
      <c r="B22" s="77"/>
      <c r="C22" s="48"/>
      <c r="D22" s="85" t="str">
        <f>Лист1!A17</f>
        <v>АО "МОСИНЖПРОЕКТ"</v>
      </c>
      <c r="E22" s="85"/>
      <c r="F22" s="85"/>
      <c r="G22" s="92" t="s">
        <v>73</v>
      </c>
      <c r="H22" s="87" t="str">
        <f>Лист1!A15</f>
        <v>ИМ-19-4-Р-3.2Э-ЗП2</v>
      </c>
      <c r="I22" s="84"/>
      <c r="J22" s="84"/>
      <c r="K22" s="82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5.75" customHeight="1" spans="1:26" x14ac:dyDescent="0.25">
      <c r="A23" s="94"/>
      <c r="B23" s="77"/>
      <c r="C23" s="48"/>
      <c r="D23" s="93"/>
      <c r="E23" s="93"/>
      <c r="F23" s="93"/>
      <c r="G23" s="92"/>
      <c r="H23" s="93"/>
      <c r="I23" s="93"/>
      <c r="J23" s="93"/>
      <c r="K23" s="82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25.5" customHeight="1" spans="1:26" x14ac:dyDescent="0.25">
      <c r="A24" s="94" t="s">
        <v>124</v>
      </c>
      <c r="B24" s="77"/>
      <c r="C24" s="48"/>
      <c r="D24" s="93"/>
      <c r="E24" s="107" t="str">
        <f>Лист1!A39</f>
        <v>Труба "ПЭ тип "С" 110*6,3 техническая (L012) (паспорт  качества от 23.08.2021г.)</v>
      </c>
      <c r="F24" s="107"/>
      <c r="G24" s="107"/>
      <c r="H24" s="107"/>
      <c r="I24" s="107"/>
      <c r="J24" s="107"/>
      <c r="K24" s="82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5.75" customHeight="1" spans="1:26" x14ac:dyDescent="0.25">
      <c r="A25" s="91"/>
      <c r="B25" s="89"/>
      <c r="C25" s="48"/>
      <c r="D25" s="92"/>
      <c r="E25" s="70"/>
      <c r="F25" s="70"/>
      <c r="G25" s="92"/>
      <c r="H25" s="48"/>
      <c r="I25" s="48"/>
      <c r="J25" s="82"/>
      <c r="K25" s="82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5.75" customHeight="1" spans="1:26" x14ac:dyDescent="0.25">
      <c r="A26" s="94" t="s">
        <v>115</v>
      </c>
      <c r="B26" s="89"/>
      <c r="C26" s="48"/>
      <c r="D26" s="85" t="str">
        <f>Лист1!A19</f>
        <v>01.06.2024 г.</v>
      </c>
      <c r="E26" s="85"/>
      <c r="F26" s="85"/>
      <c r="G26" s="92"/>
      <c r="H26" s="70"/>
      <c r="I26" s="70"/>
      <c r="J26" s="82"/>
      <c r="K26" s="82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5.75" customHeight="1" spans="1:26" x14ac:dyDescent="0.25">
      <c r="A27" s="91"/>
      <c r="B27" s="89"/>
      <c r="C27" s="48"/>
      <c r="D27" s="70"/>
      <c r="E27" s="82"/>
      <c r="F27" s="82"/>
      <c r="G27" s="82"/>
      <c r="H27" s="82"/>
      <c r="I27" s="82"/>
      <c r="J27" s="82"/>
      <c r="K27" s="82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5.75" customHeight="1" spans="1:26" x14ac:dyDescent="0.25">
      <c r="A28" s="94" t="s">
        <v>116</v>
      </c>
      <c r="B28" s="89"/>
      <c r="C28" s="48"/>
      <c r="D28" s="85" t="str">
        <f>Лист1!A21</f>
        <v>03.06.2024 г.</v>
      </c>
      <c r="E28" s="85"/>
      <c r="F28" s="85"/>
      <c r="G28" s="82"/>
      <c r="H28" s="82"/>
      <c r="I28" s="82"/>
      <c r="J28" s="82"/>
      <c r="K28" s="82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5.75" customHeight="1" spans="1:26" x14ac:dyDescent="0.25">
      <c r="A29" s="91"/>
      <c r="B29" s="89"/>
      <c r="C29" s="48"/>
      <c r="D29" s="82"/>
      <c r="E29" s="82"/>
      <c r="F29" s="82"/>
      <c r="G29" s="82"/>
      <c r="H29" s="82"/>
      <c r="I29" s="82"/>
      <c r="J29" s="82"/>
      <c r="K29" s="82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5.75" customHeight="1" spans="1:26" x14ac:dyDescent="0.25">
      <c r="A30" s="80" t="s">
        <v>77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5.75" customHeight="1" spans="1:26" x14ac:dyDescent="0.25">
      <c r="A31" s="94" t="s">
        <v>78</v>
      </c>
      <c r="B31" s="89"/>
      <c r="C31" s="48"/>
      <c r="D31" s="82"/>
      <c r="E31" s="82"/>
      <c r="F31" s="82"/>
      <c r="G31" s="82"/>
      <c r="H31" s="82"/>
      <c r="I31" s="82"/>
      <c r="J31" s="82"/>
      <c r="K31" s="82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5.75" customHeight="1" spans="1:26" x14ac:dyDescent="0.25">
      <c r="A32" s="94" t="s">
        <v>125</v>
      </c>
      <c r="B32" s="89"/>
      <c r="C32" s="48"/>
      <c r="D32" s="82"/>
      <c r="E32" s="84"/>
      <c r="F32" s="84"/>
      <c r="G32" s="84"/>
      <c r="H32" s="89"/>
      <c r="I32" s="82"/>
      <c r="J32" s="82"/>
      <c r="K32" s="82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5.75" customHeight="1" spans="1:26" x14ac:dyDescent="0.25">
      <c r="A33" s="91"/>
      <c r="B33" s="89"/>
      <c r="C33" s="48"/>
      <c r="D33" s="82"/>
      <c r="E33" s="93"/>
      <c r="F33" s="93"/>
      <c r="G33" s="93"/>
      <c r="H33" s="89"/>
      <c r="I33" s="82"/>
      <c r="J33" s="82"/>
      <c r="K33" s="82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5.75" customHeight="1" spans="1:26" x14ac:dyDescent="0.25">
      <c r="A34" s="91"/>
      <c r="B34" s="89"/>
      <c r="C34" s="48"/>
      <c r="D34" s="82"/>
      <c r="E34" s="82"/>
      <c r="F34" s="82"/>
      <c r="G34" s="82"/>
      <c r="H34" s="82"/>
      <c r="I34" s="82"/>
      <c r="J34" s="82"/>
      <c r="K34" s="82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5.75" customHeight="1" x14ac:dyDescent="0.25"/>
    <row r="36" ht="15.75" customHeight="1" x14ac:dyDescent="0.25"/>
    <row r="37" ht="15.75" customHeight="1" spans="1:9" x14ac:dyDescent="0.25">
      <c r="A37" s="77" t="str">
        <f>Лист1!A30</f>
        <v>Представитель Южного РЭС АО "ОЭК" ____________________</v>
      </c>
      <c r="C37" s="77"/>
      <c r="D37" s="77"/>
      <c r="E37" s="77"/>
      <c r="F37" s="77"/>
      <c r="G37" s="77"/>
      <c r="H37" s="77"/>
      <c r="I37" s="77"/>
    </row>
    <row r="38" ht="15.75" customHeight="1" spans="1:9" x14ac:dyDescent="0.25">
      <c r="A38" s="77"/>
      <c r="C38" s="77"/>
      <c r="D38" s="77"/>
      <c r="E38" s="77"/>
      <c r="F38" s="77"/>
      <c r="G38" s="77"/>
      <c r="H38" s="77"/>
      <c r="I38" s="77"/>
    </row>
    <row r="39" ht="15.75" customHeight="1" spans="1:9" x14ac:dyDescent="0.25">
      <c r="A39" s="77" t="str">
        <f>Лист1!A31</f>
        <v>Начальник участка ООО «Резонанс-Энерго» ______________________Борков Е.А</v>
      </c>
      <c r="C39" s="77"/>
      <c r="D39" s="77"/>
      <c r="E39" s="77"/>
      <c r="F39" s="77"/>
      <c r="G39" s="77"/>
      <c r="H39" s="77"/>
      <c r="I39" s="77"/>
    </row>
    <row r="40" ht="15.75" customHeight="1" hidden="1" spans="1:9" x14ac:dyDescent="0.25">
      <c r="A40" s="77"/>
      <c r="C40" s="77"/>
      <c r="D40" s="77"/>
      <c r="E40" s="77"/>
      <c r="F40" s="77"/>
      <c r="G40" s="77"/>
      <c r="H40" s="77"/>
      <c r="I40" s="77"/>
    </row>
    <row r="41" ht="15.75" customHeight="1" spans="1:9" x14ac:dyDescent="0.25">
      <c r="A41" s="77"/>
      <c r="C41" s="77"/>
      <c r="D41" s="77"/>
      <c r="E41" s="77"/>
      <c r="F41" s="77"/>
      <c r="G41" s="77"/>
      <c r="H41" s="77"/>
      <c r="I41" s="77"/>
    </row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</sheetData>
  <mergeCells count="15">
    <mergeCell ref="C3:K3"/>
    <mergeCell ref="G4:J4"/>
    <mergeCell ref="A5:B5"/>
    <mergeCell ref="G5:K5"/>
    <mergeCell ref="A6:K6"/>
    <mergeCell ref="A7:K7"/>
    <mergeCell ref="E14:G14"/>
    <mergeCell ref="E17:G17"/>
    <mergeCell ref="C18:H18"/>
    <mergeCell ref="E20:F20"/>
    <mergeCell ref="D22:F22"/>
    <mergeCell ref="E24:J24"/>
    <mergeCell ref="D26:F26"/>
    <mergeCell ref="D28:F28"/>
    <mergeCell ref="A30:K30"/>
  </mergeCells>
  <pageMargins left="0.25" right="0.25" top="0.75" bottom="0.75" header="0.3" footer="0.3"/>
  <pageSetup paperSize="9" orientation="portrait" horizontalDpi="4294967295" verticalDpi="4294967295" scale="8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Лист1</vt:lpstr>
      <vt:lpstr>Разбивка</vt:lpstr>
      <vt:lpstr>Герметизация</vt:lpstr>
      <vt:lpstr>АОСР </vt:lpstr>
      <vt:lpstr>Надзор</vt:lpstr>
      <vt:lpstr>Приемка</vt:lpstr>
      <vt:lpstr>ПП</vt:lpstr>
      <vt:lpstr>Соосность</vt:lpstr>
      <vt:lpstr>Сварка трубы</vt:lpstr>
      <vt:lpstr>Опись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Алексей Кубкуб</cp:lastModifiedBy>
  <cp:lastPrinted>2024-03-05T08:13:25Z</cp:lastPrinted>
  <dcterms:created xsi:type="dcterms:W3CDTF">1996-10-08T23:32:33Z</dcterms:created>
  <dcterms:modified xsi:type="dcterms:W3CDTF">2026-03-05T13:31:57Z</dcterms:modified>
</cp:coreProperties>
</file>