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АОСР (1)" sheetId="2" state="visible" r:id="rId4"/>
    <sheet name="АОСР (2)" sheetId="3" state="visible" r:id="rId5"/>
  </sheets>
  <definedNames>
    <definedName function="false" hidden="false" localSheetId="1" name="_xlnm.Print_Area" vbProcedure="false">'АОСР (1)'!$A$1:$AJ$87</definedName>
    <definedName function="false" hidden="false" localSheetId="2" name="_xlnm.Print_Area" vbProcedure="false">'АОСР (2)'!$A$1:$AJ$86</definedName>
    <definedName function="false" hidden="false" name="_xlfn_SINGLE" vbProcedure="false">none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<sst xmlns="http://schemas.openxmlformats.org/spreadsheetml/2006/main" count="155" uniqueCount="85">
  <si>
    <t xml:space="preserve">переход №</t>
  </si>
  <si>
    <t xml:space="preserve">Lпр=</t>
  </si>
  <si>
    <t xml:space="preserve">Длина труб=</t>
  </si>
  <si>
    <t xml:space="preserve">Адрес</t>
  </si>
  <si>
    <t xml:space="preserve">Дата начала</t>
  </si>
  <si>
    <t xml:space="preserve">Дата окончания</t>
  </si>
  <si>
    <t xml:space="preserve">Дата АОСР</t>
  </si>
  <si>
    <t xml:space="preserve">Приказ Минстроя  №344/пр от 16.05.2023</t>
  </si>
  <si>
    <t xml:space="preserve">приложение №2</t>
  </si>
  <si>
    <t xml:space="preserve">Объект капитального строительства</t>
  </si>
  <si>
    <t xml:space="preserve"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</si>
  <si>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 xml:space="preserve">Застройщик, технический заказчик, лицо, ответственное за  эксплуатацию здания, сооружения, или региональный оператор</t>
  </si>
  <si>
    <t xml:space="preserve"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</si>
  <si>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 xml:space="preserve"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</si>
  <si>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</si>
  <si>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 xml:space="preserve">Лицо, осуществляющее подготовку проектной документации</t>
  </si>
  <si>
    <t xml:space="preserve"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</si>
  <si>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 xml:space="preserve">АКТ</t>
  </si>
  <si>
    <t xml:space="preserve">разбивки осей объекта капитального строительства на местности</t>
  </si>
  <si>
    <t xml:space="preserve">№</t>
  </si>
  <si>
    <t xml:space="preserve">"</t>
  </si>
  <si>
    <t xml:space="preserve">г.</t>
  </si>
  <si>
    <t xml:space="preserve">(дата составления акта)</t>
  </si>
  <si>
    <t xml:space="preserve"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</si>
  <si>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Представитель застройщика, технического заказчика, лица, ответственного за эксплуатацию здания, сооружения</t>
  </si>
  <si>
    <t xml:space="preserve">Акимов Ю.О.</t>
  </si>
  <si>
    <t xml:space="preserve"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</si>
  <si>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</si>
  <si>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 xml:space="preserve">Представитель лица, осуществляющего строительство, реконструкцию, капитальный ремонт</t>
  </si>
  <si>
    <t xml:space="preserve">(должность (при наличии), фамилия, инициалы, реквизиты распорядительного документа, подтверждающего полномочия)</t>
  </si>
  <si>
    <t xml:space="preserve">Представитель лица, осуществляющего строительство, реконструкцию, капитальный ремонт,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</si>
  <si>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</si>
  <si>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 xml:space="preserve"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</si>
  <si>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 xml:space="preserve"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</si>
  <si>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 xml:space="preserve"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</si>
  <si>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 xml:space="preserve"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</si>
  <si>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 xml:space="preserve">составили настоящий акт о том, что произведена в натуре разбивка осей</t>
  </si>
  <si>
    <t xml:space="preserve">объекта капитального строительства</t>
  </si>
  <si>
    <t xml:space="preserve">(наименование объекта капитального строительства)</t>
  </si>
  <si>
    <t xml:space="preserve">При этом установлено:</t>
  </si>
  <si>
    <t xml:space="preserve">1.Разбивка произведена по данным</t>
  </si>
  <si>
    <t xml:space="preserve">(номер, другие реквизиты чертежа, наименование проектной документации)</t>
  </si>
  <si>
    <t xml:space="preserve">2. Закрепление осей произведено</t>
  </si>
  <si>
    <t xml:space="preserve">колышками разбивки при помощи геодезического оборудования.</t>
  </si>
  <si>
    <t xml:space="preserve">3. Обозначение осей, нумерация и расположение точек соответствует проектной документации.</t>
  </si>
  <si>
    <t xml:space="preserve"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</si>
  <si>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</si>
  <si>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 xml:space="preserve">СП 126.13330.2017 «Геодезические работы в строительстве». СНиП 3.01.03-84</t>
  </si>
  <si>
    <t xml:space="preserve">раздела проектной рабочей документации, наименования и структурные единицы технических регламентов, иных нормативных правовых актов)</t>
  </si>
  <si>
    <t xml:space="preserve">и выполнена с соблюдением заданной точности построений и измерений.</t>
  </si>
  <si>
    <t xml:space="preserve">Дополнительные сведения</t>
  </si>
  <si>
    <t xml:space="preserve">отсутствуют</t>
  </si>
  <si>
    <t xml:space="preserve">Акт составлен в  </t>
  </si>
  <si>
    <t xml:space="preserve">экземплярах (в случае заполнения акта на бумажном носителе).</t>
  </si>
  <si>
    <t xml:space="preserve">Приложения:</t>
  </si>
  <si>
    <t xml:space="preserve">(схема закрепления осей)</t>
  </si>
  <si>
    <t xml:space="preserve">(исполнительные схемы и чертежи, результаты экспертиз, обследований, лабораторных и иных испытаний)</t>
  </si>
  <si>
    <t xml:space="preserve">Представитель застройщика, технического заказчика, лица, ответственного за эксплуатацию</t>
  </si>
  <si>
    <t xml:space="preserve">здания, сооружения, или регионального оператора по вопросам строительного контроля</t>
  </si>
  <si>
    <t xml:space="preserve">(фамилия, инициалы)</t>
  </si>
  <si>
    <t xml:space="preserve">(подпись)</t>
  </si>
  <si>
    <t xml:space="preserve">Представитель застройщика, технического заказчика, лица, ответственного за эксплуатацию здания</t>
  </si>
  <si>
    <t xml:space="preserve">Представитель лица, осуществляющего строительство, реконструкцию, капитальный ремонт,</t>
  </si>
  <si>
    <t xml:space="preserve">по вопросам строительного контроля</t>
  </si>
  <si>
    <t xml:space="preserve"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</si>
  <si>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 xml:space="preserve">приложение №3</t>
  </si>
  <si>
    <t xml:space="preserve">освидетельствования скрытых работ</t>
  </si>
  <si>
    <t xml:space="preserve"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</si>
  <si>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 xml:space="preserve">произвели осмотр работ, выполненных</t>
  </si>
  <si>
    <t xml:space="preserve">(полное и (или) сокращенное наименование или ФИО лица,  выполнившего работы, подлежащие освидетельствованию)</t>
  </si>
  <si>
    <t xml:space="preserve">и составили настоящий акт о нижеследующем:</t>
  </si>
  <si>
    <t xml:space="preserve">1. К освидетельствованию предъявлены следующие работы:</t>
  </si>
  <si>
    <t xml:space="preserve">(наименование скрытых работ)</t>
  </si>
  <si>
    <t xml:space="preserve">2. Работы выполнены по проектной документации</t>
  </si>
  <si>
    <t xml:space="preserve"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</si>
  <si>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 xml:space="preserve">3. При выполнении работ применены</t>
  </si>
  <si>
    <t xml:space="preserve"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</si>
  <si>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</si>
  <si>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 xml:space="preserve">требованиям:</t>
  </si>
  <si>
    <t xml:space="preserve"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</si>
  <si>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 xml:space="preserve">5. Даты: начала работ</t>
  </si>
  <si>
    <t xml:space="preserve">              окончания работ</t>
  </si>
  <si>
    <t xml:space="preserve">6. Работы выполнены в соответствии с</t>
  </si>
  <si>
    <t xml:space="preserve">7. Разрешается  производство   последующих  работ </t>
  </si>
  <si>
    <t xml:space="preserve">(наименование работ, строительных конструкций, участков сетей инженерно-технического обеспечения)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</si>
</sst>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20">
    <font>
      <sz val="1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b val="true"/>
      <i val="true"/>
      <sz val="10"/>
      <name val="Times New Roman"/>
      <family val="1"/>
      <charset val="204"/>
    </font>
    <font>
      <sz val="6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 val="true"/>
      <i val="true"/>
      <sz val="10"/>
      <name val="Tahoma"/>
      <family val="2"/>
      <charset val="1"/>
    </font>
    <font>
      <b val="true"/>
      <i val="true"/>
      <sz val="9"/>
      <name val="Tahoma"/>
      <family val="2"/>
      <charset val="1"/>
    </font>
    <font>
      <i val="true"/>
      <sz val="8"/>
      <name val="Times New Roman"/>
      <family val="1"/>
      <charset val="204"/>
    </font>
    <font>
      <b val="true"/>
      <i val="true"/>
      <sz val="11"/>
      <name val="Times New Roman"/>
      <family val="1"/>
      <charset val="204"/>
    </font>
    <font>
      <sz val="7"/>
      <name val="Times New Roman"/>
      <family val="1"/>
      <charset val="204"/>
    </font>
    <font>
      <b val="true"/>
      <i val="true"/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Пример акта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66"/>
    <pageSetUpPr fitToPage="false"/>
  </sheetPr>
  <dimension ref="A2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2.75" customHeight="true" zeroHeight="false" outlineLevelRow="0" outlineLevelCol="0"/>
  <cols>
    <col collapsed="false" customWidth="true" hidden="false" outlineLevel="0" max="1" min="1" style="1" width="15.65"/>
    <col collapsed="false" customWidth="true" hidden="false" outlineLevel="0" max="2" min="2" style="1" width="37.65"/>
  </cols>
  <sheetData>
    <row r="2" customFormat="false" ht="18" hidden="false" customHeight="true" outlineLevel="0" collapsed="false">
      <c r="A2" s="1" t="s">
        <v>0</v>
      </c>
      <c r="B2" s="2"/>
      <c r="C2" s="3"/>
      <c r="D2" s="3"/>
      <c r="E2" s="3"/>
    </row>
    <row r="3" customFormat="false" ht="18" hidden="false" customHeight="true" outlineLevel="0" collapsed="false">
      <c r="A3" s="1" t="s">
        <v>1</v>
      </c>
      <c r="B3" s="4"/>
      <c r="C3" s="3"/>
      <c r="D3" s="3"/>
      <c r="E3" s="3"/>
    </row>
    <row r="4" customFormat="false" ht="18" hidden="false" customHeight="true" outlineLevel="0" collapsed="false">
      <c r="A4" s="1" t="s">
        <v>2</v>
      </c>
      <c r="B4" s="4" t="n">
        <f aca="false">C3*B3</f>
        <v>0</v>
      </c>
      <c r="C4" s="3"/>
      <c r="D4" s="3"/>
      <c r="E4" s="3"/>
    </row>
    <row r="5" customFormat="false" ht="18" hidden="false" customHeight="true" outlineLevel="0" collapsed="false">
      <c r="A5" s="1" t="s">
        <v>3</v>
      </c>
      <c r="B5" s="5"/>
      <c r="C5" s="3"/>
      <c r="D5" s="3"/>
      <c r="E5" s="3"/>
    </row>
    <row r="6" customFormat="false" ht="18" hidden="false" customHeight="true" outlineLevel="0" collapsed="false">
      <c r="A6" s="1" t="s">
        <v>4</v>
      </c>
      <c r="B6" s="3" t="str">
        <f aca="false">CONCATENATE(C6," ",D6," ",E6)</f>
        <v>  </v>
      </c>
      <c r="C6" s="3"/>
      <c r="D6" s="6"/>
      <c r="E6" s="3"/>
    </row>
    <row r="7" customFormat="false" ht="18" hidden="false" customHeight="true" outlineLevel="0" collapsed="false">
      <c r="A7" s="1" t="s">
        <v>5</v>
      </c>
      <c r="B7" s="3" t="str">
        <f aca="false">CONCATENATE(C7," ",D7," ",E7)</f>
        <v>  </v>
      </c>
      <c r="C7" s="3"/>
      <c r="D7" s="6"/>
      <c r="E7" s="3"/>
    </row>
    <row r="8" customFormat="false" ht="18" hidden="false" customHeight="true" outlineLevel="0" collapsed="false">
      <c r="A8" s="1" t="s">
        <v>6</v>
      </c>
      <c r="B8" s="3" t="str">
        <f aca="false">CONCATENATE(C8," ",D8," ",E8)</f>
        <v>  </v>
      </c>
      <c r="C8" s="3"/>
      <c r="D8" s="6"/>
      <c r="E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66"/>
    <pageSetUpPr fitToPage="false"/>
  </sheetPr>
  <dimension ref="A1:IW89"/>
  <sheetViews>
    <sheetView showFormulas="false" showGridLines="true" showRowColHeaders="true" showZeros="true" rightToLeft="false" tabSelected="true" showOutlineSymbols="true" defaultGridColor="true" view="normal" topLeftCell="A22" colorId="64" zoomScale="125" zoomScaleNormal="125" zoomScalePageLayoutView="130" workbookViewId="0">
      <selection pane="topLeft" activeCell="A27" activeCellId="0" sqref="A27"/>
    </sheetView>
  </sheetViews>
  <sheetFormatPr defaultColWidth="10.65234375" defaultRowHeight="15" customHeight="true" zeroHeight="false" outlineLevelRow="0" outlineLevelCol="0"/>
  <cols>
    <col collapsed="false" customWidth="true" hidden="false" outlineLevel="0" max="31" min="1" style="5" width="2.82"/>
    <col collapsed="false" customWidth="true" hidden="false" outlineLevel="0" max="32" min="32" style="5" width="2.99"/>
    <col collapsed="false" customWidth="true" hidden="false" outlineLevel="0" max="51" min="33" style="5" width="2.82"/>
    <col collapsed="false" customWidth="false" hidden="false" outlineLevel="0" max="257" min="52" style="5" width="10.65"/>
  </cols>
  <sheetData>
    <row r="1" customFormat="false" ht="12.75" hidden="false" customHeight="true" outlineLevel="0" collapsed="false">
      <c r="AJ1" s="7" t="s">
        <v>7</v>
      </c>
    </row>
    <row r="2" customFormat="false" ht="11.25" hidden="false" customHeight="true" outlineLevel="0" collapsed="false">
      <c r="AJ2" s="7" t="s">
        <v>8</v>
      </c>
    </row>
    <row r="3" customFormat="false" ht="12" hidden="false" customHeight="true" outlineLevel="0" collapsed="false">
      <c r="A3" s="8" t="s">
        <v>9</v>
      </c>
      <c r="AJ3" s="9"/>
      <c r="AK3" s="9"/>
      <c r="AL3" s="9"/>
      <c r="AM3" s="9"/>
      <c r="AN3" s="9"/>
      <c r="AO3" s="9"/>
      <c r="AP3" s="9"/>
      <c r="AQ3" s="9"/>
    </row>
    <row r="4" customFormat="false" ht="29.2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customFormat="false" ht="10.5" hidden="false" customHeight="true" outlineLevel="0" collapsed="false">
      <c r="A5" s="11" t="s">
        <v>10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customFormat="false" ht="23.25" hidden="false" customHeight="true" outlineLevel="0" collapsed="false">
      <c r="A6" s="12" t="s">
        <v>11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customFormat="false" ht="40.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customFormat="false" ht="40.5" hidden="false" customHeight="true" outlineLevel="0" collapsed="false">
      <c r="A8" s="11" t="s">
        <v>12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customFormat="false" ht="12" hidden="false" customHeight="true" outlineLevel="0" collapsed="false">
      <c r="A9" s="8" t="s">
        <v>13</v>
      </c>
    </row>
    <row r="10" customFormat="false" ht="51.7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customFormat="false" ht="42" hidden="false" customHeight="true" outlineLevel="0" collapsed="false">
      <c r="A11" s="11" t="s">
        <v>14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customFormat="false" ht="15.75" hidden="false" customHeight="true" outlineLevel="0" collapsed="false">
      <c r="A12" s="8" t="s">
        <v>15</v>
      </c>
    </row>
    <row r="13" customFormat="false" ht="43.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customFormat="false" ht="27.75" hidden="false" customHeight="true" outlineLevel="0" collapsed="false">
      <c r="A14" s="11" t="s">
        <v>16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customFormat="false" ht="10.5" hidden="false" customHeight="true" outlineLevel="0" collapsed="false">
      <c r="A15" s="13" t="s">
        <v>17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customFormat="false" ht="12.75" hidden="false" customHeight="true" outlineLevel="0" collapsed="false">
      <c r="A16" s="14" t="s">
        <v>18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customFormat="false" ht="3.7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12.75" hidden="false" customHeight="true" outlineLevel="0" collapsed="false">
      <c r="A18" s="16"/>
      <c r="B18" s="16" t="s">
        <v>19</v>
      </c>
      <c r="C18" s="17" t="str">
        <f aca="false">CONCATENATE("1 (ЗП ГНБ №",Лист1!B2,")")</f>
        <v>1 (ЗП ГНБ №)</v>
      </c>
      <c r="D18" s="17"/>
      <c r="E18" s="17"/>
      <c r="F18" s="17"/>
      <c r="G18" s="17"/>
      <c r="H18" s="17"/>
      <c r="I18" s="17"/>
      <c r="J18" s="17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8" t="s">
        <v>20</v>
      </c>
      <c r="Y18" s="19" t="n">
        <f aca="false">Лист1!C6</f>
        <v>0</v>
      </c>
      <c r="Z18" s="19"/>
      <c r="AA18" s="8" t="s">
        <v>20</v>
      </c>
      <c r="AB18" s="19" t="n">
        <f aca="false">Лист1!D6</f>
        <v>0</v>
      </c>
      <c r="AC18" s="19"/>
      <c r="AD18" s="19"/>
      <c r="AE18" s="19"/>
      <c r="AF18" s="8"/>
      <c r="AG18" s="19" t="n">
        <f aca="false">Лист1!E6</f>
        <v>0</v>
      </c>
      <c r="AH18" s="19"/>
      <c r="AI18" s="19"/>
      <c r="AJ18" s="8" t="s">
        <v>21</v>
      </c>
    </row>
    <row r="19" customFormat="false" ht="9.75" hidden="false" customHeight="true" outlineLevel="0" collapsed="false">
      <c r="Y19" s="20"/>
      <c r="Z19" s="21" t="s">
        <v>22</v>
      </c>
      <c r="AA19" s="20"/>
      <c r="AB19" s="20"/>
      <c r="AC19" s="20"/>
      <c r="AD19" s="20"/>
      <c r="AE19" s="20"/>
      <c r="AF19" s="20"/>
      <c r="AG19" s="20"/>
      <c r="AH19" s="20"/>
    </row>
    <row r="20" customFormat="false" ht="3" hidden="false" customHeight="true" outlineLevel="0" collapsed="false"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customFormat="false" ht="24.75" hidden="false" customHeight="true" outlineLevel="0" collapsed="false">
      <c r="A21" s="12" t="s">
        <v>23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customFormat="false" ht="27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customFormat="false" ht="23.25" hidden="false" customHeight="true" outlineLevel="0" collapsed="false">
      <c r="A23" s="23" t="s">
        <v>24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Q23" s="24" t="s">
        <v>25</v>
      </c>
    </row>
    <row r="24" customFormat="false" ht="12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Q24" s="24" t="s">
        <v>26</v>
      </c>
    </row>
    <row r="25" customFormat="false" ht="42" hidden="false" customHeight="true" outlineLevel="0" collapsed="false">
      <c r="A25" s="11" t="s">
        <v>27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customFormat="false" ht="12" hidden="false" customHeight="true" outlineLevel="0" collapsed="false">
      <c r="A26" s="8" t="s">
        <v>28</v>
      </c>
    </row>
    <row r="27" customFormat="false" ht="33.7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customFormat="false" ht="9" hidden="false" customHeight="true" outlineLevel="0" collapsed="false">
      <c r="A28" s="11" t="s">
        <v>29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customFormat="false" ht="24.75" hidden="false" customHeight="true" outlineLevel="0" collapsed="false">
      <c r="A29" s="12" t="s">
        <v>30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customFormat="false" ht="33.7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</row>
    <row r="31" customFormat="false" ht="34.5" hidden="false" customHeight="true" outlineLevel="0" collapsed="false">
      <c r="A31" s="11" t="s">
        <v>31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customFormat="false" ht="48" hidden="false" customHeight="true" outlineLevel="0" collapsed="false">
      <c r="A32" s="26" t="s">
        <v>32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</row>
    <row r="34" customFormat="false" ht="21" hidden="false" customHeight="true" outlineLevel="0" collapsed="false">
      <c r="A34" s="11" t="s">
        <v>33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customFormat="false" ht="39.75" hidden="false" customHeight="true" outlineLevel="0" collapsed="false">
      <c r="A35" s="26" t="s">
        <v>34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customFormat="false" ht="15" hidden="false" customHeight="tru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customFormat="false" ht="16.5" hidden="false" customHeight="true" outlineLevel="0" collapsed="false">
      <c r="A37" s="28" t="s">
        <v>35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customFormat="false" ht="12.75" hidden="false" customHeight="true" outlineLevel="0" collapsed="false">
      <c r="A38" s="29" t="s">
        <v>36</v>
      </c>
    </row>
    <row r="39" customFormat="false" ht="12" hidden="false" customHeight="true" outlineLevel="0" collapsed="false">
      <c r="A39" s="30" t="str">
        <f aca="false">CONCATENATE("Закрытого перехода методом ГНБ №",Лист1!B2," по адресу: ",Лист1!B5,)</f>
        <v>Закрытого перехода методом ГНБ № по адресу: 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customFormat="false" ht="12" hidden="false" customHeight="true" outlineLevel="0" collapsed="false">
      <c r="A40" s="29" t="s">
        <v>37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customFormat="false" ht="34.5" hidden="false" customHeight="true" outlineLevel="0" collapsed="false">
      <c r="A41" s="10" t="n">
        <f aca="false">A4</f>
        <v>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customFormat="false" ht="10.5" hidden="false" customHeight="true" outlineLevel="0" collapsed="false">
      <c r="A42" s="11" t="s">
        <v>38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customFormat="false" ht="12" hidden="false" customHeight="true" outlineLevel="0" collapsed="false">
      <c r="A43" s="29" t="s">
        <v>39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</row>
    <row r="44" customFormat="false" ht="13.5" hidden="false" customHeight="true" outlineLevel="0" collapsed="false">
      <c r="A44" s="33" t="s">
        <v>40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25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  <c r="IW44" s="25"/>
    </row>
    <row r="45" customFormat="false" ht="13.5" hidden="false" customHeight="true" outlineLevel="0" collapsed="false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</row>
    <row r="46" customFormat="false" ht="8.25" hidden="false" customHeight="true" outlineLevel="0" collapsed="false">
      <c r="A46" s="11" t="s">
        <v>41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customFormat="false" ht="13.5" hidden="false" customHeight="true" outlineLevel="0" collapsed="false">
      <c r="A47" s="32" t="s">
        <v>42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0" t="s">
        <v>43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</row>
    <row r="48" customFormat="false" ht="12" hidden="false" customHeight="true" outlineLevel="0" collapsed="false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  <c r="IG48" s="32"/>
      <c r="IH48" s="32"/>
      <c r="II48" s="32"/>
      <c r="IJ48" s="32"/>
      <c r="IK48" s="32"/>
      <c r="IL48" s="32"/>
      <c r="IM48" s="32"/>
      <c r="IN48" s="32"/>
      <c r="IO48" s="32"/>
      <c r="IP48" s="32"/>
      <c r="IQ48" s="32"/>
      <c r="IR48" s="32"/>
      <c r="IS48" s="32"/>
      <c r="IT48" s="32"/>
      <c r="IU48" s="32"/>
      <c r="IV48" s="32"/>
      <c r="IW48" s="32"/>
    </row>
    <row r="49" customFormat="false" ht="12" hidden="false" customHeight="true" outlineLevel="0" collapsed="false">
      <c r="A49" s="8" t="s">
        <v>44</v>
      </c>
      <c r="B49" s="32"/>
      <c r="C49" s="32"/>
      <c r="D49" s="32"/>
      <c r="E49" s="32"/>
      <c r="F49" s="34"/>
      <c r="G49" s="34"/>
      <c r="H49" s="34"/>
      <c r="I49" s="34"/>
      <c r="J49" s="34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  <c r="IG49" s="32"/>
      <c r="IH49" s="32"/>
      <c r="II49" s="32"/>
      <c r="IJ49" s="32"/>
      <c r="IK49" s="32"/>
      <c r="IL49" s="32"/>
      <c r="IM49" s="32"/>
      <c r="IN49" s="32"/>
      <c r="IO49" s="32"/>
      <c r="IP49" s="32"/>
      <c r="IQ49" s="32"/>
      <c r="IR49" s="32"/>
      <c r="IS49" s="32"/>
      <c r="IT49" s="32"/>
      <c r="IU49" s="32"/>
      <c r="IV49" s="32"/>
      <c r="IW49" s="32"/>
    </row>
    <row r="50" customFormat="false" ht="12" hidden="false" customHeight="true" outlineLevel="0" collapsed="false">
      <c r="A50" s="8"/>
      <c r="B50" s="25"/>
      <c r="C50" s="25"/>
      <c r="D50" s="25"/>
      <c r="E50" s="25"/>
      <c r="F50" s="35"/>
      <c r="G50" s="35"/>
      <c r="H50" s="35"/>
      <c r="I50" s="35"/>
      <c r="J50" s="3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</row>
    <row r="51" customFormat="false" ht="38.25" hidden="false" customHeight="true" outlineLevel="0" collapsed="false">
      <c r="A51" s="12" t="s">
        <v>45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</row>
    <row r="52" customFormat="false" ht="52.5" hidden="false" customHeight="true" outlineLevel="0" collapsed="false">
      <c r="A52" s="10" t="str">
        <f aca="false">CONCATENATE(A45,", ",A41)</f>
        <v>, 0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  <c r="IG52" s="32"/>
      <c r="IH52" s="32"/>
      <c r="II52" s="32"/>
      <c r="IJ52" s="32"/>
      <c r="IK52" s="32"/>
      <c r="IL52" s="32"/>
      <c r="IM52" s="32"/>
      <c r="IN52" s="32"/>
      <c r="IO52" s="32"/>
      <c r="IP52" s="32"/>
      <c r="IQ52" s="32"/>
      <c r="IR52" s="32"/>
      <c r="IS52" s="32"/>
      <c r="IT52" s="32"/>
      <c r="IU52" s="32"/>
      <c r="IV52" s="32"/>
      <c r="IW52" s="32"/>
    </row>
    <row r="53" customFormat="false" ht="8.25" hidden="false" customHeight="true" outlineLevel="0" collapsed="false">
      <c r="A53" s="36" t="s">
        <v>46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  <c r="IG53" s="32"/>
      <c r="IH53" s="32"/>
      <c r="II53" s="32"/>
      <c r="IJ53" s="32"/>
      <c r="IK53" s="32"/>
      <c r="IL53" s="32"/>
      <c r="IM53" s="32"/>
      <c r="IN53" s="32"/>
      <c r="IO53" s="32"/>
      <c r="IP53" s="32"/>
      <c r="IQ53" s="32"/>
      <c r="IR53" s="32"/>
      <c r="IS53" s="32"/>
      <c r="IT53" s="32"/>
      <c r="IU53" s="32"/>
      <c r="IV53" s="32"/>
      <c r="IW53" s="32"/>
    </row>
    <row r="54" customFormat="false" ht="12" hidden="false" customHeight="true" outlineLevel="0" collapsed="false">
      <c r="A54" s="30" t="s">
        <v>47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  <c r="IG54" s="32"/>
      <c r="IH54" s="32"/>
      <c r="II54" s="32"/>
      <c r="IJ54" s="32"/>
      <c r="IK54" s="32"/>
      <c r="IL54" s="32"/>
      <c r="IM54" s="32"/>
      <c r="IN54" s="32"/>
      <c r="IO54" s="32"/>
      <c r="IP54" s="32"/>
      <c r="IQ54" s="32"/>
      <c r="IR54" s="32"/>
      <c r="IS54" s="32"/>
      <c r="IT54" s="32"/>
      <c r="IU54" s="32"/>
      <c r="IV54" s="32"/>
      <c r="IW54" s="32"/>
    </row>
    <row r="55" customFormat="false" ht="8.25" hidden="false" customHeight="true" outlineLevel="0" collapsed="false">
      <c r="A55" s="36" t="s">
        <v>48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</row>
    <row r="56" customFormat="false" ht="13.5" hidden="false" customHeight="true" outlineLevel="0" collapsed="false">
      <c r="A56" s="8" t="s">
        <v>49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</row>
    <row r="57" customFormat="false" ht="12" hidden="false" customHeight="true" outlineLevel="0" collapsed="false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</row>
    <row r="58" customFormat="false" ht="12" hidden="false" customHeight="true" outlineLevel="0" collapsed="false">
      <c r="A58" s="8" t="s">
        <v>50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19" t="s">
        <v>51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</row>
    <row r="59" customFormat="false" ht="6" hidden="false" customHeight="true" outlineLevel="0" collapsed="false">
      <c r="D59" s="39"/>
      <c r="E59" s="39"/>
      <c r="F59" s="39"/>
      <c r="G59" s="39"/>
      <c r="H59" s="39"/>
      <c r="I59" s="39"/>
      <c r="J59" s="39"/>
    </row>
    <row r="60" customFormat="false" ht="12" hidden="false" customHeight="true" outlineLevel="0" collapsed="false">
      <c r="A60" s="8" t="s">
        <v>52</v>
      </c>
      <c r="B60" s="8"/>
      <c r="C60" s="8"/>
      <c r="D60" s="8"/>
      <c r="E60" s="8"/>
      <c r="F60" s="8"/>
      <c r="G60" s="8"/>
      <c r="H60" s="40" t="n">
        <v>4</v>
      </c>
      <c r="I60" s="40"/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</row>
    <row r="61" customFormat="false" ht="4.5" hidden="false" customHeight="true" outlineLevel="0" collapsed="false"/>
    <row r="62" customFormat="false" ht="12" hidden="false" customHeight="true" outlineLevel="0" collapsed="false">
      <c r="A62" s="8" t="s">
        <v>54</v>
      </c>
    </row>
    <row r="63" customFormat="false" ht="12" hidden="false" customHeight="true" outlineLevel="0" collapsed="false">
      <c r="A63" s="41" t="str">
        <f aca="false">'АОСР (2)'!A64:AJ64</f>
        <v>1. Исполнительный чертеж ЗП № (по адресу: )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</row>
    <row r="64" customFormat="false" ht="12" hidden="false" customHeight="true" outlineLevel="0" collapsed="false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</row>
    <row r="65" customFormat="false" ht="9.75" hidden="false" customHeight="true" outlineLevel="0" collapsed="false">
      <c r="A65" s="42" t="s">
        <v>55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</row>
    <row r="66" customFormat="false" ht="4.5" hidden="false" customHeight="true" outlineLevel="0" collapsed="false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</row>
    <row r="67" customFormat="false" ht="8.25" hidden="false" customHeight="true" outlineLevel="0" collapsed="false">
      <c r="A67" s="11" t="s">
        <v>56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customFormat="false" ht="13.5" hidden="false" customHeight="true" outlineLevel="0" collapsed="false">
      <c r="A68" s="8" t="s">
        <v>57</v>
      </c>
    </row>
    <row r="69" customFormat="false" ht="12" hidden="false" customHeight="true" outlineLevel="0" collapsed="false">
      <c r="A69" s="8" t="s">
        <v>58</v>
      </c>
    </row>
    <row r="70" customFormat="false" ht="35.2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19"/>
      <c r="AC70" s="19"/>
      <c r="AD70" s="19"/>
      <c r="AE70" s="19"/>
      <c r="AF70" s="19"/>
      <c r="AG70" s="19"/>
      <c r="AH70" s="19"/>
      <c r="AI70" s="19"/>
      <c r="AJ70" s="19"/>
    </row>
    <row r="71" customFormat="false" ht="10.5" hidden="false" customHeight="true" outlineLevel="0" collapsed="false">
      <c r="A71" s="28" t="s">
        <v>59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45"/>
      <c r="Q71" s="45"/>
      <c r="R71" s="45"/>
      <c r="S71" s="45"/>
      <c r="T71" s="45"/>
      <c r="U71" s="46"/>
      <c r="V71" s="46"/>
      <c r="W71" s="46"/>
      <c r="X71" s="46"/>
      <c r="Y71" s="46"/>
      <c r="Z71" s="46"/>
      <c r="AA71" s="46"/>
      <c r="AB71" s="36" t="s">
        <v>60</v>
      </c>
      <c r="AC71" s="36"/>
      <c r="AD71" s="36"/>
      <c r="AE71" s="36"/>
      <c r="AF71" s="36"/>
      <c r="AG71" s="36"/>
      <c r="AH71" s="36"/>
      <c r="AI71" s="36"/>
      <c r="AJ71" s="36"/>
    </row>
    <row r="72" customFormat="false" ht="11.25" hidden="false" customHeight="true" outlineLevel="0" collapsed="false">
      <c r="A72" s="26" t="s">
        <v>61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</row>
    <row r="73" customFormat="false" ht="33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7"/>
      <c r="AC73" s="47"/>
      <c r="AD73" s="47"/>
      <c r="AE73" s="47"/>
      <c r="AF73" s="47"/>
      <c r="AG73" s="47"/>
      <c r="AH73" s="47"/>
      <c r="AI73" s="47"/>
      <c r="AJ73" s="47"/>
    </row>
    <row r="74" customFormat="false" ht="9.75" hidden="false" customHeight="true" outlineLevel="0" collapsed="false">
      <c r="A74" s="28" t="s">
        <v>59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45"/>
      <c r="Q74" s="45"/>
      <c r="R74" s="45"/>
      <c r="S74" s="45"/>
      <c r="T74" s="45"/>
      <c r="U74" s="46"/>
      <c r="V74" s="46"/>
      <c r="W74" s="46"/>
      <c r="X74" s="46"/>
      <c r="Y74" s="46"/>
      <c r="Z74" s="46"/>
      <c r="AA74" s="46"/>
      <c r="AB74" s="36" t="s">
        <v>60</v>
      </c>
      <c r="AC74" s="36"/>
      <c r="AD74" s="36"/>
      <c r="AE74" s="36"/>
      <c r="AF74" s="36"/>
      <c r="AG74" s="36"/>
      <c r="AH74" s="36"/>
      <c r="AI74" s="36"/>
      <c r="AJ74" s="36"/>
    </row>
    <row r="75" customFormat="false" ht="10.5" hidden="false" customHeight="true" outlineLevel="0" collapsed="false">
      <c r="A75" s="48" t="s">
        <v>28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</row>
    <row r="76" customFormat="false" ht="24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19"/>
      <c r="AC76" s="19"/>
      <c r="AD76" s="19"/>
      <c r="AE76" s="19"/>
      <c r="AF76" s="19"/>
      <c r="AG76" s="19"/>
      <c r="AH76" s="19"/>
      <c r="AI76" s="19"/>
      <c r="AJ76" s="19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8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8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8"/>
      <c r="GG76" s="48"/>
      <c r="GH76" s="48"/>
      <c r="GI76" s="48"/>
      <c r="GJ76" s="48"/>
      <c r="GK76" s="48"/>
      <c r="GL76" s="48"/>
      <c r="GM76" s="48"/>
      <c r="GN76" s="48"/>
      <c r="GO76" s="48"/>
      <c r="GP76" s="48"/>
      <c r="GQ76" s="48"/>
      <c r="GR76" s="48"/>
      <c r="GS76" s="48"/>
      <c r="GT76" s="4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8"/>
      <c r="HM76" s="48"/>
      <c r="HN76" s="48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  <c r="IR76" s="48"/>
      <c r="IS76" s="48"/>
      <c r="IT76" s="48"/>
      <c r="IU76" s="48"/>
      <c r="IV76" s="48"/>
      <c r="IW76" s="48"/>
    </row>
    <row r="77" customFormat="false" ht="9" hidden="false" customHeight="true" outlineLevel="0" collapsed="false">
      <c r="A77" s="28" t="s">
        <v>59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45"/>
      <c r="Q77" s="45"/>
      <c r="R77" s="45"/>
      <c r="S77" s="45"/>
      <c r="T77" s="45"/>
      <c r="U77" s="46"/>
      <c r="V77" s="46"/>
      <c r="W77" s="46"/>
      <c r="X77" s="46"/>
      <c r="Y77" s="46"/>
      <c r="Z77" s="46"/>
      <c r="AA77" s="46"/>
      <c r="AB77" s="36" t="s">
        <v>60</v>
      </c>
      <c r="AC77" s="36"/>
      <c r="AD77" s="36"/>
      <c r="AE77" s="36"/>
      <c r="AF77" s="36"/>
      <c r="AG77" s="36"/>
      <c r="AH77" s="36"/>
      <c r="AI77" s="36"/>
      <c r="AJ77" s="36"/>
    </row>
    <row r="78" customFormat="false" ht="12.75" hidden="false" customHeight="true" outlineLevel="0" collapsed="false">
      <c r="A78" s="48" t="s">
        <v>62</v>
      </c>
    </row>
    <row r="79" customFormat="false" ht="10.5" hidden="false" customHeight="true" outlineLevel="0" collapsed="false">
      <c r="A79" s="48" t="s">
        <v>63</v>
      </c>
    </row>
    <row r="80" customFormat="false" ht="21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19"/>
      <c r="AC80" s="19"/>
      <c r="AD80" s="19"/>
      <c r="AE80" s="19"/>
      <c r="AF80" s="19"/>
      <c r="AG80" s="19"/>
      <c r="AH80" s="19"/>
      <c r="AI80" s="19"/>
      <c r="AJ80" s="19"/>
    </row>
    <row r="81" customFormat="false" ht="8.25" hidden="false" customHeight="true" outlineLevel="0" collapsed="false">
      <c r="A81" s="28" t="s">
        <v>59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45"/>
      <c r="Q81" s="45"/>
      <c r="R81" s="45"/>
      <c r="S81" s="45"/>
      <c r="T81" s="45"/>
      <c r="U81" s="46"/>
      <c r="V81" s="46"/>
      <c r="W81" s="46"/>
      <c r="X81" s="46"/>
      <c r="Y81" s="46"/>
      <c r="Z81" s="46"/>
      <c r="AA81" s="46"/>
      <c r="AB81" s="36" t="s">
        <v>60</v>
      </c>
      <c r="AC81" s="36"/>
      <c r="AD81" s="36"/>
      <c r="AE81" s="36"/>
      <c r="AF81" s="36"/>
      <c r="AG81" s="36"/>
      <c r="AH81" s="36"/>
      <c r="AI81" s="36"/>
      <c r="AJ81" s="36"/>
    </row>
    <row r="82" customFormat="false" ht="37.5" hidden="false" customHeight="true" outlineLevel="0" collapsed="false">
      <c r="A82" s="49" t="s">
        <v>32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</row>
    <row r="83" customFormat="false" ht="1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19"/>
      <c r="AC83" s="19"/>
      <c r="AD83" s="19"/>
      <c r="AE83" s="19"/>
      <c r="AF83" s="19"/>
      <c r="AG83" s="19"/>
      <c r="AH83" s="19"/>
      <c r="AI83" s="19"/>
      <c r="AJ83" s="19"/>
    </row>
    <row r="84" customFormat="false" ht="8.25" hidden="false" customHeight="true" outlineLevel="0" collapsed="false">
      <c r="A84" s="28" t="s">
        <v>59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45"/>
      <c r="Q84" s="45"/>
      <c r="R84" s="45"/>
      <c r="S84" s="45"/>
      <c r="T84" s="45"/>
      <c r="U84" s="46"/>
      <c r="V84" s="46"/>
      <c r="W84" s="46"/>
      <c r="X84" s="46"/>
      <c r="Y84" s="46"/>
      <c r="Z84" s="46"/>
      <c r="AA84" s="46"/>
      <c r="AB84" s="36" t="s">
        <v>60</v>
      </c>
      <c r="AC84" s="36"/>
      <c r="AD84" s="36"/>
      <c r="AE84" s="36"/>
      <c r="AF84" s="36"/>
      <c r="AG84" s="36"/>
      <c r="AH84" s="36"/>
      <c r="AI84" s="36"/>
      <c r="AJ84" s="36"/>
    </row>
    <row r="85" customFormat="false" ht="34.5" hidden="false" customHeight="true" outlineLevel="0" collapsed="false">
      <c r="A85" s="49" t="s">
        <v>64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</row>
    <row r="86" customFormat="false" ht="22.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19"/>
      <c r="AC86" s="19"/>
      <c r="AD86" s="19"/>
      <c r="AE86" s="19"/>
      <c r="AF86" s="19"/>
      <c r="AG86" s="19"/>
      <c r="AH86" s="19"/>
      <c r="AI86" s="19"/>
      <c r="AJ86" s="19"/>
    </row>
    <row r="87" customFormat="false" ht="12" hidden="false" customHeight="true" outlineLevel="0" collapsed="false">
      <c r="A87" s="28" t="s">
        <v>59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45"/>
      <c r="Q87" s="45"/>
      <c r="R87" s="45"/>
      <c r="S87" s="45"/>
      <c r="T87" s="45"/>
      <c r="U87" s="46"/>
      <c r="V87" s="46"/>
      <c r="W87" s="46"/>
      <c r="X87" s="46"/>
      <c r="Y87" s="46"/>
      <c r="Z87" s="46"/>
      <c r="AA87" s="46"/>
      <c r="AB87" s="36" t="s">
        <v>60</v>
      </c>
      <c r="AC87" s="36"/>
      <c r="AD87" s="36"/>
      <c r="AE87" s="36"/>
      <c r="AF87" s="36"/>
      <c r="AG87" s="36"/>
      <c r="AH87" s="36"/>
      <c r="AI87" s="36"/>
      <c r="AJ87" s="36"/>
    </row>
    <row r="88" customFormat="false" ht="9" hidden="false" customHeight="true" outlineLevel="0" collapsed="false"/>
    <row r="89" customFormat="false" ht="12" hidden="false" customHeight="true" outlineLevel="0" collapsed="false"/>
  </sheetData>
  <mergeCells count="74"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C18:K18"/>
    <mergeCell ref="Y18:Z18"/>
    <mergeCell ref="AB18:AE18"/>
    <mergeCell ref="AG18:AI18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52:AJ52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71:O71"/>
    <mergeCell ref="AB71:AJ71"/>
    <mergeCell ref="A72:AJ72"/>
    <mergeCell ref="A73:O73"/>
    <mergeCell ref="A74:O74"/>
    <mergeCell ref="AB74:AJ74"/>
    <mergeCell ref="A76:O76"/>
    <mergeCell ref="AB76:AJ76"/>
    <mergeCell ref="A77:O77"/>
    <mergeCell ref="AB77:AJ77"/>
    <mergeCell ref="A80:O80"/>
    <mergeCell ref="AB80:AJ80"/>
    <mergeCell ref="A81:O81"/>
    <mergeCell ref="AB81:AJ81"/>
    <mergeCell ref="A82:AJ82"/>
    <mergeCell ref="A83:O83"/>
    <mergeCell ref="AB83:AJ83"/>
    <mergeCell ref="A84:O84"/>
    <mergeCell ref="AB84:AJ84"/>
    <mergeCell ref="A85:AJ85"/>
    <mergeCell ref="A86:O86"/>
    <mergeCell ref="AB86:AJ86"/>
    <mergeCell ref="A87:O87"/>
    <mergeCell ref="AB87:AJ87"/>
  </mergeCells>
  <printOptions headings="false" gridLines="false" gridLinesSet="true" horizontalCentered="false" verticalCentered="false"/>
  <pageMargins left="0.7875" right="0.275694444444444" top="0.39375" bottom="0.39375" header="0.511811023622047" footer="0.511811023622047"/>
  <pageSetup paperSize="9" scale="8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7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66"/>
    <pageSetUpPr fitToPage="false"/>
  </sheetPr>
  <dimension ref="A1:IW88"/>
  <sheetViews>
    <sheetView showFormulas="false" showGridLines="true" showRowColHeaders="true" showZeros="true" rightToLeft="false" tabSelected="false" showOutlineSymbols="true" defaultGridColor="true" view="normal" topLeftCell="A22" colorId="64" zoomScale="125" zoomScaleNormal="125" zoomScalePageLayoutView="130" workbookViewId="0">
      <selection pane="topLeft" activeCell="A33" activeCellId="0" sqref="A33"/>
    </sheetView>
  </sheetViews>
  <sheetFormatPr defaultColWidth="10.65234375" defaultRowHeight="15" customHeight="true" zeroHeight="false" outlineLevelRow="0" outlineLevelCol="0"/>
  <cols>
    <col collapsed="false" customWidth="true" hidden="false" outlineLevel="0" max="31" min="1" style="5" width="2.82"/>
    <col collapsed="false" customWidth="true" hidden="false" outlineLevel="0" max="32" min="32" style="5" width="2.99"/>
    <col collapsed="false" customWidth="true" hidden="false" outlineLevel="0" max="51" min="33" style="5" width="2.82"/>
    <col collapsed="false" customWidth="false" hidden="false" outlineLevel="0" max="257" min="52" style="5" width="10.65"/>
  </cols>
  <sheetData>
    <row r="1" customFormat="false" ht="12.75" hidden="false" customHeight="true" outlineLevel="0" collapsed="false">
      <c r="AJ1" s="7" t="s">
        <v>7</v>
      </c>
    </row>
    <row r="2" customFormat="false" ht="11.25" hidden="false" customHeight="true" outlineLevel="0" collapsed="false">
      <c r="AJ2" s="7" t="s">
        <v>65</v>
      </c>
    </row>
    <row r="3" customFormat="false" ht="12" hidden="false" customHeight="true" outlineLevel="0" collapsed="false">
      <c r="A3" s="8" t="s">
        <v>9</v>
      </c>
      <c r="AJ3" s="9"/>
      <c r="AK3" s="9"/>
      <c r="AL3" s="9"/>
      <c r="AM3" s="9"/>
      <c r="AN3" s="9"/>
      <c r="AO3" s="9"/>
      <c r="AP3" s="9"/>
      <c r="AQ3" s="9"/>
    </row>
    <row r="4" customFormat="false" ht="29.25" hidden="false" customHeight="true" outlineLevel="0" collapsed="false">
      <c r="A4" s="10" t="n">
        <f aca="false">'АОСР (1)'!A4:AJ4</f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customFormat="false" ht="9" hidden="false" customHeight="true" outlineLevel="0" collapsed="false">
      <c r="A5" s="11" t="s">
        <v>10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customFormat="false" ht="23.25" hidden="false" customHeight="true" outlineLevel="0" collapsed="false">
      <c r="A6" s="12" t="s">
        <v>11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customFormat="false" ht="40.5" hidden="false" customHeight="true" outlineLevel="0" collapsed="false">
      <c r="A7" s="10" t="n">
        <f aca="false">'АОСР (1)'!A7:AJ7</f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customFormat="false" ht="46.5" hidden="false" customHeight="true" outlineLevel="0" collapsed="false">
      <c r="A8" s="11" t="s">
        <v>12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customFormat="false" ht="12" hidden="false" customHeight="true" outlineLevel="0" collapsed="false">
      <c r="A9" s="8" t="s">
        <v>13</v>
      </c>
    </row>
    <row r="10" customFormat="false" ht="48.75" hidden="false" customHeight="true" outlineLevel="0" collapsed="false">
      <c r="A10" s="50" t="n">
        <f aca="false">'АОСР (1)'!A10:AJ10</f>
        <v>0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</row>
    <row r="11" customFormat="false" ht="36" hidden="false" customHeight="true" outlineLevel="0" collapsed="false">
      <c r="A11" s="11" t="s">
        <v>14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customFormat="false" ht="15" hidden="false" customHeight="true" outlineLevel="0" collapsed="false">
      <c r="A12" s="8" t="s">
        <v>15</v>
      </c>
    </row>
    <row r="13" customFormat="false" ht="37.5" hidden="false" customHeight="true" outlineLevel="0" collapsed="false">
      <c r="A13" s="50" t="n">
        <f aca="false">'АОСР (1)'!A13:AJ13</f>
        <v>0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</row>
    <row r="14" customFormat="false" ht="27.75" hidden="false" customHeight="true" outlineLevel="0" collapsed="false">
      <c r="A14" s="11" t="s">
        <v>16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customFormat="false" ht="10.5" hidden="false" customHeight="true" outlineLevel="0" collapsed="false">
      <c r="A15" s="13" t="s">
        <v>17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customFormat="false" ht="12.75" hidden="false" customHeight="true" outlineLevel="0" collapsed="false">
      <c r="A16" s="14" t="s">
        <v>66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customFormat="false" ht="3.7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12.75" hidden="false" customHeight="true" outlineLevel="0" collapsed="false">
      <c r="A18" s="16"/>
      <c r="B18" s="16" t="s">
        <v>19</v>
      </c>
      <c r="C18" s="17" t="str">
        <f aca="false">CONCATENATE("2 (ЗП ГНБ №",Лист1!B2,")")</f>
        <v>2 (ЗП ГНБ №)</v>
      </c>
      <c r="D18" s="17"/>
      <c r="E18" s="17"/>
      <c r="F18" s="17"/>
      <c r="G18" s="17"/>
      <c r="H18" s="17"/>
      <c r="I18" s="17"/>
      <c r="J18" s="17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8" t="s">
        <v>20</v>
      </c>
      <c r="Y18" s="19" t="n">
        <f aca="false">Лист1!C8</f>
        <v>0</v>
      </c>
      <c r="Z18" s="19"/>
      <c r="AA18" s="8" t="s">
        <v>20</v>
      </c>
      <c r="AB18" s="19" t="n">
        <f aca="false">Лист1!D8</f>
        <v>0</v>
      </c>
      <c r="AC18" s="19"/>
      <c r="AD18" s="19"/>
      <c r="AE18" s="19"/>
      <c r="AF18" s="8"/>
      <c r="AG18" s="19" t="n">
        <f aca="false">Лист1!E8</f>
        <v>0</v>
      </c>
      <c r="AH18" s="19"/>
      <c r="AI18" s="19"/>
      <c r="AJ18" s="8" t="s">
        <v>21</v>
      </c>
    </row>
    <row r="19" customFormat="false" ht="9.75" hidden="false" customHeight="true" outlineLevel="0" collapsed="false">
      <c r="Y19" s="20"/>
      <c r="Z19" s="21" t="s">
        <v>22</v>
      </c>
      <c r="AA19" s="20"/>
      <c r="AB19" s="20"/>
      <c r="AC19" s="20"/>
      <c r="AD19" s="20"/>
      <c r="AE19" s="20"/>
      <c r="AF19" s="20"/>
      <c r="AG19" s="20"/>
      <c r="AH19" s="20"/>
    </row>
    <row r="20" customFormat="false" ht="3" hidden="false" customHeight="true" outlineLevel="0" collapsed="false"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customFormat="false" ht="24.75" hidden="false" customHeight="true" outlineLevel="0" collapsed="false">
      <c r="A21" s="12" t="s">
        <v>23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customFormat="false" ht="27" hidden="false" customHeight="true" outlineLevel="0" collapsed="false">
      <c r="A22" s="22" t="n">
        <f aca="false">'АОСР (1)'!A22:AJ22</f>
        <v>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customFormat="false" ht="23.25" hidden="false" customHeight="true" outlineLevel="0" collapsed="false">
      <c r="A23" s="23" t="s">
        <v>24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customFormat="false" ht="12" hidden="false" customHeight="true" outlineLevel="0" collapsed="false">
      <c r="A24" s="10" t="n">
        <f aca="false">'АОСР (1)'!A24:AJ24</f>
        <v>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customFormat="false" ht="39" hidden="false" customHeight="true" outlineLevel="0" collapsed="false">
      <c r="A25" s="11" t="s">
        <v>27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customFormat="false" ht="12" hidden="false" customHeight="true" outlineLevel="0" collapsed="false">
      <c r="A26" s="8" t="s">
        <v>28</v>
      </c>
    </row>
    <row r="27" customFormat="false" ht="33.75" hidden="false" customHeight="true" outlineLevel="0" collapsed="false">
      <c r="A27" s="10" t="n">
        <f aca="false">'АОСР (1)'!A27:AJ27</f>
        <v>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customFormat="false" ht="9" hidden="false" customHeight="true" outlineLevel="0" collapsed="false">
      <c r="A28" s="11" t="s">
        <v>29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customFormat="false" ht="24.75" hidden="false" customHeight="true" outlineLevel="0" collapsed="false">
      <c r="A29" s="12" t="s">
        <v>30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customFormat="false" ht="33.75" hidden="false" customHeight="true" outlineLevel="0" collapsed="false">
      <c r="A30" s="10" t="n">
        <f aca="false">'АОСР (1)'!A30:AJ30</f>
        <v>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</row>
    <row r="31" customFormat="false" ht="26.25" hidden="false" customHeight="true" outlineLevel="0" collapsed="false">
      <c r="A31" s="11" t="s">
        <v>31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customFormat="false" ht="48" hidden="false" customHeight="true" outlineLevel="0" collapsed="false">
      <c r="A32" s="26" t="s">
        <v>32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</row>
    <row r="34" customFormat="false" ht="17.25" hidden="false" customHeight="true" outlineLevel="0" collapsed="false">
      <c r="A34" s="11" t="s">
        <v>33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customFormat="false" ht="39.75" hidden="false" customHeight="true" outlineLevel="0" collapsed="false">
      <c r="A35" s="26" t="s">
        <v>67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customFormat="false" ht="20.25" hidden="false" customHeight="tru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customFormat="false" ht="18" hidden="false" customHeight="true" outlineLevel="0" collapsed="false">
      <c r="A37" s="28" t="s">
        <v>35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customFormat="false" ht="11.25" hidden="false" customHeight="true" outlineLevel="0" collapsed="false">
      <c r="A38" s="8" t="s">
        <v>68</v>
      </c>
    </row>
    <row r="39" customFormat="false" ht="12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customFormat="false" ht="10.5" hidden="false" customHeight="true" outlineLevel="0" collapsed="false">
      <c r="A40" s="28" t="s">
        <v>69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customFormat="false" ht="10.5" hidden="false" customHeight="true" outlineLevel="0" collapsed="false">
      <c r="A41" s="8" t="s">
        <v>70</v>
      </c>
    </row>
    <row r="42" customFormat="false" ht="12" hidden="false" customHeight="true" outlineLevel="0" collapsed="false">
      <c r="A42" s="8" t="s">
        <v>71</v>
      </c>
    </row>
    <row r="43" customFormat="false" ht="39" hidden="false" customHeight="true" outlineLevel="0" collapsed="false">
      <c r="A43" s="51" t="str">
        <f aca="false">CONCATENATE("Строительство закрытого перехода №",Лист1!B2," методом ГНБ; Lпр.=",Лист1!B3," м, Lобщ.=",Лист1!B4," м, одна скважина из 2-х труб d=225 мм, по адресу : ",Лист1!B5,", проверка трубных переходов на проходимость; затягивание шнура; нумерация труб; установка заглушек.")</f>
        <v>Строительство закрытого перехода № методом ГНБ; Lпр.= м, Lобщ.=0 м, одна скважина из 2-х труб d=225 мм, по адресу : , проверка трубных переходов на проходимость; затягивание шнура; нумерация труб; установка заглушек.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</row>
    <row r="44" customFormat="false" ht="9.75" hidden="false" customHeight="true" outlineLevel="0" collapsed="false">
      <c r="A44" s="11" t="s">
        <v>72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customFormat="false" ht="12" hidden="false" customHeight="true" outlineLevel="0" collapsed="false">
      <c r="A45" s="8" t="s">
        <v>73</v>
      </c>
    </row>
    <row r="46" customFormat="false" ht="12" hidden="false" customHeight="true" outlineLevel="0" collapsed="false">
      <c r="A46" s="10" t="n">
        <f aca="false">'АОСР (1)'!A45:AJ45</f>
        <v>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customFormat="false" ht="15" hidden="false" customHeight="true" outlineLevel="0" collapsed="false">
      <c r="A47" s="11" t="s">
        <v>74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customFormat="false" ht="15" hidden="false" customHeight="true" outlineLevel="0" collapsed="false">
      <c r="A48" s="8" t="s">
        <v>75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</row>
    <row r="49" customFormat="false" ht="52.5" hidden="false" customHeight="true" outlineLevel="0" collapsed="false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</row>
    <row r="50" customFormat="false" ht="18" hidden="false" customHeight="true" outlineLevel="0" collapsed="false">
      <c r="A50" s="11" t="s">
        <v>76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customFormat="false" ht="12.75" hidden="false" customHeight="true" outlineLevel="0" collapsed="false">
      <c r="A51" s="8" t="s">
        <v>77</v>
      </c>
    </row>
    <row r="52" customFormat="false" ht="12" hidden="false" customHeight="true" outlineLevel="0" collapsed="false">
      <c r="A52" s="8" t="s">
        <v>78</v>
      </c>
      <c r="G52" s="54" t="str">
        <f aca="false">CONCATENATE("Исполнительный чертеж ЗП №",Лист1!B2," (по адресу: ",Лист1!B5,")")</f>
        <v>Исполнительный чертеж ЗП № (по адресу: )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</row>
    <row r="53" customFormat="false" ht="12" hidden="false" customHeight="true" outlineLevel="0" collapsed="false">
      <c r="A53" s="42" t="s">
        <v>79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</row>
    <row r="54" customFormat="false" ht="13.5" hidden="false" customHeight="true" outlineLevel="0" collapsed="false">
      <c r="A54" s="8" t="s">
        <v>80</v>
      </c>
      <c r="B54" s="8"/>
      <c r="C54" s="8"/>
      <c r="D54" s="55"/>
      <c r="E54" s="55"/>
      <c r="F54" s="55"/>
      <c r="G54" s="55"/>
      <c r="H54" s="8"/>
      <c r="I54" s="8"/>
      <c r="J54" s="8"/>
      <c r="K54" s="8"/>
      <c r="L54" s="18" t="s">
        <v>20</v>
      </c>
      <c r="M54" s="19" t="n">
        <f aca="false">Лист1!C6</f>
        <v>0</v>
      </c>
      <c r="N54" s="19"/>
      <c r="O54" s="8" t="s">
        <v>20</v>
      </c>
      <c r="P54" s="19" t="n">
        <f aca="false">Лист1!D6</f>
        <v>0</v>
      </c>
      <c r="Q54" s="19"/>
      <c r="R54" s="19"/>
      <c r="S54" s="19"/>
      <c r="T54" s="8"/>
      <c r="U54" s="19" t="n">
        <f aca="false">Лист1!E6</f>
        <v>0</v>
      </c>
      <c r="V54" s="19"/>
      <c r="W54" s="19"/>
      <c r="X54" s="8" t="s">
        <v>21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</row>
    <row r="55" customFormat="false" ht="12" hidden="false" customHeight="true" outlineLevel="0" collapsed="false">
      <c r="A55" s="8" t="s">
        <v>81</v>
      </c>
      <c r="B55" s="8"/>
      <c r="C55" s="8"/>
      <c r="D55" s="55"/>
      <c r="E55" s="55"/>
      <c r="F55" s="55"/>
      <c r="G55" s="55"/>
      <c r="H55" s="8"/>
      <c r="I55" s="8"/>
      <c r="J55" s="8"/>
      <c r="K55" s="8"/>
      <c r="L55" s="18" t="s">
        <v>20</v>
      </c>
      <c r="M55" s="56" t="n">
        <f aca="false">Лист1!C7</f>
        <v>0</v>
      </c>
      <c r="N55" s="56"/>
      <c r="O55" s="8" t="s">
        <v>20</v>
      </c>
      <c r="P55" s="56" t="n">
        <f aca="false">Лист1!D7</f>
        <v>0</v>
      </c>
      <c r="Q55" s="56"/>
      <c r="R55" s="56"/>
      <c r="S55" s="56"/>
      <c r="T55" s="8"/>
      <c r="U55" s="56" t="n">
        <f aca="false">Лист1!E7</f>
        <v>0</v>
      </c>
      <c r="V55" s="56"/>
      <c r="W55" s="56"/>
      <c r="X55" s="8" t="s">
        <v>21</v>
      </c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</row>
    <row r="56" customFormat="false" ht="4.5" hidden="false" customHeight="true" outlineLevel="0" collapsed="false">
      <c r="A56" s="57"/>
      <c r="B56" s="57"/>
      <c r="C56" s="57"/>
      <c r="D56" s="58"/>
      <c r="E56" s="58"/>
      <c r="F56" s="58"/>
      <c r="G56" s="5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</row>
    <row r="57" customFormat="false" ht="9.75" hidden="false" customHeight="true" outlineLevel="0" collapsed="false">
      <c r="A57" s="8" t="s">
        <v>82</v>
      </c>
      <c r="O57" s="17" t="n">
        <f aca="false">A46</f>
        <v>0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</row>
    <row r="58" customFormat="false" ht="12.75" hidden="false" customHeight="true" outlineLevel="0" collapsed="false">
      <c r="A58" s="8" t="s">
        <v>83</v>
      </c>
    </row>
    <row r="59" customFormat="false" ht="12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</row>
    <row r="60" customFormat="false" ht="12" hidden="false" customHeight="true" outlineLevel="0" collapsed="false">
      <c r="A60" s="11" t="s">
        <v>84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customFormat="false" ht="12.75" hidden="false" customHeight="true" outlineLevel="0" collapsed="false">
      <c r="A61" s="8" t="s">
        <v>50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19" t="s">
        <v>51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</row>
    <row r="62" customFormat="false" ht="15" hidden="false" customHeight="true" outlineLevel="0" collapsed="false">
      <c r="A62" s="8" t="s">
        <v>52</v>
      </c>
      <c r="B62" s="8"/>
      <c r="C62" s="8"/>
      <c r="D62" s="8"/>
      <c r="E62" s="8"/>
      <c r="F62" s="8"/>
      <c r="G62" s="8"/>
      <c r="H62" s="19" t="n">
        <v>4</v>
      </c>
      <c r="I62" s="19"/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customFormat="false" ht="12.75" hidden="false" customHeight="true" outlineLevel="0" collapsed="false">
      <c r="A63" s="8" t="s">
        <v>54</v>
      </c>
    </row>
    <row r="64" customFormat="false" ht="12.75" hidden="false" customHeight="true" outlineLevel="0" collapsed="false">
      <c r="A64" s="41" t="str">
        <f aca="false">CONCATENATE("1. ",G52)</f>
        <v>1. Исполнительный чертеж ЗП № (по адресу: )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</row>
    <row r="65" customFormat="false" ht="52.5" hidden="false" customHeight="true" outlineLevel="0" collapsed="false">
      <c r="A65" s="53" t="str">
        <f aca="false">CONCATENATE("2. ",A49)</f>
        <v>2. 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</row>
    <row r="66" customFormat="false" ht="10.5" hidden="false" customHeight="true" outlineLevel="0" collapsed="false">
      <c r="A66" s="11" t="s">
        <v>56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customFormat="false" ht="13.5" hidden="false" customHeight="true" outlineLevel="0" collapsed="false">
      <c r="A67" s="8" t="s">
        <v>57</v>
      </c>
    </row>
    <row r="68" customFormat="false" ht="12" hidden="false" customHeight="true" outlineLevel="0" collapsed="false">
      <c r="A68" s="8" t="s">
        <v>58</v>
      </c>
    </row>
    <row r="69" customFormat="false" ht="28.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19"/>
      <c r="AC69" s="19"/>
      <c r="AD69" s="19"/>
      <c r="AE69" s="19"/>
      <c r="AF69" s="19"/>
      <c r="AG69" s="19"/>
      <c r="AH69" s="19"/>
      <c r="AI69" s="19"/>
      <c r="AJ69" s="19"/>
    </row>
    <row r="70" customFormat="false" ht="10.5" hidden="false" customHeight="true" outlineLevel="0" collapsed="false">
      <c r="A70" s="28" t="s">
        <v>59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45"/>
      <c r="Q70" s="45"/>
      <c r="R70" s="45"/>
      <c r="S70" s="45"/>
      <c r="T70" s="45"/>
      <c r="U70" s="46"/>
      <c r="V70" s="46"/>
      <c r="W70" s="46"/>
      <c r="X70" s="46"/>
      <c r="Y70" s="46"/>
      <c r="Z70" s="46"/>
      <c r="AA70" s="46"/>
      <c r="AB70" s="36" t="s">
        <v>60</v>
      </c>
      <c r="AC70" s="36"/>
      <c r="AD70" s="36"/>
      <c r="AE70" s="36"/>
      <c r="AF70" s="36"/>
      <c r="AG70" s="36"/>
      <c r="AH70" s="36"/>
      <c r="AI70" s="36"/>
      <c r="AJ70" s="36"/>
    </row>
    <row r="71" customFormat="false" ht="11.25" hidden="false" customHeight="true" outlineLevel="0" collapsed="false">
      <c r="A71" s="26" t="s">
        <v>61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</row>
    <row r="72" customFormat="false" ht="28.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7"/>
      <c r="AC72" s="47"/>
      <c r="AD72" s="47"/>
      <c r="AE72" s="47"/>
      <c r="AF72" s="47"/>
      <c r="AG72" s="47"/>
      <c r="AH72" s="47"/>
      <c r="AI72" s="47"/>
      <c r="AJ72" s="47"/>
    </row>
    <row r="73" customFormat="false" ht="9.75" hidden="false" customHeight="true" outlineLevel="0" collapsed="false">
      <c r="A73" s="28" t="s">
        <v>59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45"/>
      <c r="Q73" s="45"/>
      <c r="R73" s="45"/>
      <c r="S73" s="45"/>
      <c r="T73" s="45"/>
      <c r="U73" s="46"/>
      <c r="V73" s="46"/>
      <c r="W73" s="46"/>
      <c r="X73" s="46"/>
      <c r="Y73" s="46"/>
      <c r="Z73" s="46"/>
      <c r="AA73" s="46"/>
      <c r="AB73" s="36" t="s">
        <v>60</v>
      </c>
      <c r="AC73" s="36"/>
      <c r="AD73" s="36"/>
      <c r="AE73" s="36"/>
      <c r="AF73" s="36"/>
      <c r="AG73" s="36"/>
      <c r="AH73" s="36"/>
      <c r="AI73" s="36"/>
      <c r="AJ73" s="36"/>
    </row>
    <row r="74" customFormat="false" ht="10.5" hidden="false" customHeight="true" outlineLevel="0" collapsed="false">
      <c r="A74" s="48" t="s">
        <v>28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</row>
    <row r="75" customFormat="false" ht="24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19"/>
      <c r="AC75" s="19"/>
      <c r="AD75" s="19"/>
      <c r="AE75" s="19"/>
      <c r="AF75" s="19"/>
      <c r="AG75" s="19"/>
      <c r="AH75" s="19"/>
      <c r="AI75" s="19"/>
      <c r="AJ75" s="19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8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8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8"/>
      <c r="GG75" s="48"/>
      <c r="GH75" s="48"/>
      <c r="GI75" s="48"/>
      <c r="GJ75" s="48"/>
      <c r="GK75" s="48"/>
      <c r="GL75" s="48"/>
      <c r="GM75" s="48"/>
      <c r="GN75" s="48"/>
      <c r="GO75" s="48"/>
      <c r="GP75" s="48"/>
      <c r="GQ75" s="48"/>
      <c r="GR75" s="48"/>
      <c r="GS75" s="48"/>
      <c r="GT75" s="4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8"/>
      <c r="HM75" s="48"/>
      <c r="HN75" s="48"/>
      <c r="HO75" s="48"/>
      <c r="HP75" s="48"/>
      <c r="HQ75" s="48"/>
      <c r="HR75" s="48"/>
      <c r="HS75" s="48"/>
      <c r="HT75" s="48"/>
      <c r="HU75" s="48"/>
      <c r="HV75" s="48"/>
      <c r="HW75" s="48"/>
      <c r="HX75" s="48"/>
      <c r="HY75" s="48"/>
      <c r="HZ75" s="48"/>
      <c r="IA75" s="48"/>
      <c r="IB75" s="48"/>
      <c r="IC75" s="48"/>
      <c r="ID75" s="48"/>
      <c r="IE75" s="48"/>
      <c r="IF75" s="48"/>
      <c r="IG75" s="48"/>
      <c r="IH75" s="48"/>
      <c r="II75" s="48"/>
      <c r="IJ75" s="48"/>
      <c r="IK75" s="48"/>
      <c r="IL75" s="48"/>
      <c r="IM75" s="48"/>
      <c r="IN75" s="48"/>
      <c r="IO75" s="48"/>
      <c r="IP75" s="48"/>
      <c r="IQ75" s="48"/>
      <c r="IR75" s="48"/>
      <c r="IS75" s="48"/>
      <c r="IT75" s="48"/>
      <c r="IU75" s="48"/>
      <c r="IV75" s="48"/>
      <c r="IW75" s="48"/>
    </row>
    <row r="76" customFormat="false" ht="9" hidden="false" customHeight="true" outlineLevel="0" collapsed="false">
      <c r="A76" s="28" t="s">
        <v>59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45"/>
      <c r="Q76" s="45"/>
      <c r="R76" s="45"/>
      <c r="S76" s="45"/>
      <c r="T76" s="45"/>
      <c r="U76" s="46"/>
      <c r="V76" s="46"/>
      <c r="W76" s="46"/>
      <c r="X76" s="46"/>
      <c r="Y76" s="46"/>
      <c r="Z76" s="46"/>
      <c r="AA76" s="46"/>
      <c r="AB76" s="36" t="s">
        <v>60</v>
      </c>
      <c r="AC76" s="36"/>
      <c r="AD76" s="36"/>
      <c r="AE76" s="36"/>
      <c r="AF76" s="36"/>
      <c r="AG76" s="36"/>
      <c r="AH76" s="36"/>
      <c r="AI76" s="36"/>
      <c r="AJ76" s="36"/>
    </row>
    <row r="77" customFormat="false" ht="12.75" hidden="false" customHeight="true" outlineLevel="0" collapsed="false">
      <c r="A77" s="48" t="s">
        <v>62</v>
      </c>
    </row>
    <row r="78" customFormat="false" ht="10.5" hidden="false" customHeight="true" outlineLevel="0" collapsed="false">
      <c r="A78" s="48" t="s">
        <v>63</v>
      </c>
    </row>
    <row r="79" customFormat="false" ht="21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19"/>
      <c r="AC79" s="19"/>
      <c r="AD79" s="19"/>
      <c r="AE79" s="19"/>
      <c r="AF79" s="19"/>
      <c r="AG79" s="19"/>
      <c r="AH79" s="19"/>
      <c r="AI79" s="19"/>
      <c r="AJ79" s="19"/>
    </row>
    <row r="80" customFormat="false" ht="8.25" hidden="false" customHeight="true" outlineLevel="0" collapsed="false">
      <c r="A80" s="28" t="s">
        <v>59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45"/>
      <c r="Q80" s="45"/>
      <c r="R80" s="45"/>
      <c r="S80" s="45"/>
      <c r="T80" s="45"/>
      <c r="U80" s="46"/>
      <c r="V80" s="46"/>
      <c r="W80" s="46"/>
      <c r="X80" s="46"/>
      <c r="Y80" s="46"/>
      <c r="Z80" s="46"/>
      <c r="AA80" s="46"/>
      <c r="AB80" s="36" t="s">
        <v>60</v>
      </c>
      <c r="AC80" s="36"/>
      <c r="AD80" s="36"/>
      <c r="AE80" s="36"/>
      <c r="AF80" s="36"/>
      <c r="AG80" s="36"/>
      <c r="AH80" s="36"/>
      <c r="AI80" s="36"/>
      <c r="AJ80" s="36"/>
    </row>
    <row r="81" customFormat="false" ht="37.5" hidden="false" customHeight="true" outlineLevel="0" collapsed="false">
      <c r="A81" s="49" t="s">
        <v>32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</row>
    <row r="82" customFormat="false" ht="1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19"/>
      <c r="AC82" s="19"/>
      <c r="AD82" s="19"/>
      <c r="AE82" s="19"/>
      <c r="AF82" s="19"/>
      <c r="AG82" s="19"/>
      <c r="AH82" s="19"/>
      <c r="AI82" s="19"/>
      <c r="AJ82" s="19"/>
    </row>
    <row r="83" customFormat="false" ht="8.25" hidden="false" customHeight="true" outlineLevel="0" collapsed="false">
      <c r="A83" s="28" t="s">
        <v>59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45"/>
      <c r="Q83" s="45"/>
      <c r="R83" s="45"/>
      <c r="S83" s="45"/>
      <c r="T83" s="45"/>
      <c r="U83" s="46"/>
      <c r="V83" s="46"/>
      <c r="W83" s="46"/>
      <c r="X83" s="46"/>
      <c r="Y83" s="46"/>
      <c r="Z83" s="46"/>
      <c r="AA83" s="46"/>
      <c r="AB83" s="36" t="s">
        <v>60</v>
      </c>
      <c r="AC83" s="36"/>
      <c r="AD83" s="36"/>
      <c r="AE83" s="36"/>
      <c r="AF83" s="36"/>
      <c r="AG83" s="36"/>
      <c r="AH83" s="36"/>
      <c r="AI83" s="36"/>
      <c r="AJ83" s="36"/>
    </row>
    <row r="84" customFormat="false" ht="34.5" hidden="false" customHeight="true" outlineLevel="0" collapsed="false">
      <c r="A84" s="49" t="s">
        <v>67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</row>
    <row r="85" customFormat="false" ht="28.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19"/>
      <c r="AC85" s="19"/>
      <c r="AD85" s="19"/>
      <c r="AE85" s="19"/>
      <c r="AF85" s="19"/>
      <c r="AG85" s="19"/>
      <c r="AH85" s="19"/>
      <c r="AI85" s="19"/>
      <c r="AJ85" s="19"/>
    </row>
    <row r="86" customFormat="false" ht="12" hidden="false" customHeight="true" outlineLevel="0" collapsed="false">
      <c r="A86" s="28" t="s">
        <v>59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45"/>
      <c r="Q86" s="45"/>
      <c r="R86" s="45"/>
      <c r="S86" s="45"/>
      <c r="T86" s="45"/>
      <c r="U86" s="46"/>
      <c r="V86" s="46"/>
      <c r="W86" s="46"/>
      <c r="X86" s="46"/>
      <c r="Y86" s="46"/>
      <c r="Z86" s="46"/>
      <c r="AA86" s="46"/>
      <c r="AB86" s="36" t="s">
        <v>60</v>
      </c>
      <c r="AC86" s="36"/>
      <c r="AD86" s="36"/>
      <c r="AE86" s="36"/>
      <c r="AF86" s="36"/>
      <c r="AG86" s="36"/>
      <c r="AH86" s="36"/>
      <c r="AI86" s="36"/>
      <c r="AJ86" s="36"/>
    </row>
    <row r="87" customFormat="false" ht="9" hidden="false" customHeight="true" outlineLevel="0" collapsed="false"/>
    <row r="88" customFormat="false" ht="12" hidden="false" customHeight="true" outlineLevel="0" collapsed="false"/>
  </sheetData>
  <mergeCells count="82"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C18:K18"/>
    <mergeCell ref="Y18:Z18"/>
    <mergeCell ref="AB18:AE18"/>
    <mergeCell ref="AG18:AI18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49:AJ49"/>
    <mergeCell ref="A50:AJ50"/>
    <mergeCell ref="G52:AJ52"/>
    <mergeCell ref="A53:AJ53"/>
    <mergeCell ref="M54:N54"/>
    <mergeCell ref="P54:S54"/>
    <mergeCell ref="U54:W54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69:O69"/>
    <mergeCell ref="AB69:AJ69"/>
    <mergeCell ref="A70:O70"/>
    <mergeCell ref="AB70:AJ70"/>
    <mergeCell ref="A71:AJ71"/>
    <mergeCell ref="A72:O72"/>
    <mergeCell ref="A73:O73"/>
    <mergeCell ref="AB73:AJ7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83:O83"/>
    <mergeCell ref="AB83:AJ83"/>
    <mergeCell ref="A84:AJ84"/>
    <mergeCell ref="A85:O85"/>
    <mergeCell ref="AB85:AJ85"/>
    <mergeCell ref="A86:O86"/>
    <mergeCell ref="AB86:AJ86"/>
  </mergeCells>
  <printOptions headings="false" gridLines="false" gridLinesSet="true" horizontalCentered="false" verticalCentered="false"/>
  <pageMargins left="0.7875" right="0.275694444444444" top="0.39375" bottom="0.39375" header="0.511811023622047" footer="0.511811023622047"/>
  <pageSetup paperSize="9" scale="9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2018-02-24T16:53:12Z</dcterms:created>
  <dc:creator>ispolnitelnaya.ru</dc:creator>
  <dc:description/>
  <dc:language>en-US</dc:language>
  <cp:lastModifiedBy>Моисеев Максим</cp:lastModifiedBy>
  <cp:lastPrinted>2025-11-25T13:49:36Z</cp:lastPrinted>
  <dcterms:modified xsi:type="dcterms:W3CDTF">2026-03-05T15:59:04Z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