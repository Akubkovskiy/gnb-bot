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Разбивка" sheetId="2" state="visible" r:id="rId4"/>
    <sheet name="Герметизация" sheetId="3" state="visible" r:id="rId5"/>
    <sheet name="АОСР " sheetId="4" state="visible" r:id="rId6"/>
    <sheet name="Надзор" sheetId="5" state="visible" r:id="rId7"/>
    <sheet name="Приемка" sheetId="6" state="visible" r:id="rId8"/>
    <sheet name="ПП" sheetId="7" state="visible" r:id="rId9"/>
    <sheet name="Акт освид" sheetId="8" state="visible" r:id="rId10"/>
    <sheet name="Соосность" sheetId="9" state="visible" r:id="rId11"/>
    <sheet name="Сварка трубы" sheetId="10" state="visible" r:id="rId12"/>
    <sheet name="Опись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<sst xmlns="http://schemas.openxmlformats.org/spreadsheetml/2006/main" count="275" uniqueCount="171">
  <si>
    <t xml:space="preserve">ШАБЛОН АКТОВ ГНБ — Лист1 (заполняется ботом)</t>
  </si>
  <si>
    <t xml:space="preserve">ИДЕНТИФИКАЦИЯ</t>
  </si>
  <si>
    <t xml:space="preserve">Наименование объекта (КЛ ГНБ)</t>
  </si>
  <si>
    <t xml:space="preserve">«Выполнение работ по прокладке КЛ методом горизонтального направленного бурения по объекту: «Резервирование электроснабжения РП 70046».</t>
  </si>
  <si>
    <t xml:space="preserve">Название стройки / объект</t>
  </si>
  <si>
    <t xml:space="preserve">Резервирование электроснабжения РП 70046</t>
  </si>
  <si>
    <t xml:space="preserve">Адрес</t>
  </si>
  <si>
    <t xml:space="preserve">г. Москва, Огородный проезд, д. 11, стр. 5</t>
  </si>
  <si>
    <t xml:space="preserve">Номер ГНБ перехода</t>
  </si>
  <si>
    <t xml:space="preserve">ЗП № 5-5</t>
  </si>
  <si>
    <t xml:space="preserve">Номер/шифр проекта</t>
  </si>
  <si>
    <t xml:space="preserve">04-ОЭКСТ-КС-25-ТКР.1</t>
  </si>
  <si>
    <t xml:space="preserve">Дата начала работ</t>
  </si>
  <si>
    <t xml:space="preserve">«10» декабря 2025 г.</t>
  </si>
  <si>
    <t xml:space="preserve">Дата окончания работ</t>
  </si>
  <si>
    <t xml:space="preserve">«22» декабря 2025 г.</t>
  </si>
  <si>
    <t xml:space="preserve">Исполнитель (организация)</t>
  </si>
  <si>
    <t xml:space="preserve">ООО «СПЕЦИНЖСТРОЙ»</t>
  </si>
  <si>
    <t xml:space="preserve">Дата завершения работ</t>
  </si>
  <si>
    <t xml:space="preserve">ОРГАНИЗАЦИИ</t>
  </si>
  <si>
    <t xml:space="preserve">Заказчик</t>
  </si>
  <si>
    <t xml:space="preserve">СВРЭС АО «ОЭК»</t>
  </si>
  <si>
    <t xml:space="preserve">Подрядчик</t>
  </si>
  <si>
    <t xml:space="preserve">АНО «ОЭК Стройтрест»</t>
  </si>
  <si>
    <t xml:space="preserve">Проектировщик</t>
  </si>
  <si>
    <t xml:space="preserve">ПОДПИСАНТЫ</t>
  </si>
  <si>
    <t xml:space="preserve">Кто</t>
  </si>
  <si>
    <t xml:space="preserve">Описание (организация + должность + ФИО)</t>
  </si>
  <si>
    <t xml:space="preserve">Подпись для актов (с чертой)</t>
  </si>
  <si>
    <t xml:space="preserve">Подписант 1 (заказчик)</t>
  </si>
  <si>
    <t xml:space="preserve">Представитель АО «ОЭК»</t>
  </si>
  <si>
    <t xml:space="preserve">Мастер по ЭРС СВРЭС  Коробков Ю.Н.</t>
  </si>
  <si>
    <t xml:space="preserve">Подписант 2 (подрядчик)</t>
  </si>
  <si>
    <t xml:space="preserve">Представитель подрядной организации АНО "ОЭК Стройтрест"</t>
  </si>
  <si>
    <t xml:space="preserve">Начальник участка  Буряк А.М.</t>
  </si>
  <si>
    <t xml:space="preserve">Подписант 3 (опцион.)</t>
  </si>
  <si>
    <t xml:space="preserve">Представитель субподрядной организации ООО «СПЕЦИНЖСТРОЙ»</t>
  </si>
  <si>
    <t xml:space="preserve">Начальник участка  Щеглов Р.А.</t>
  </si>
  <si>
    <t xml:space="preserve">Тех.надзор (= подп. 1?)</t>
  </si>
  <si>
    <t xml:space="preserve">Представитель технического надзора АО «ОЭК»</t>
  </si>
  <si>
    <t xml:space="preserve">Главный специалист ОТН  Гайдуков Н.И.</t>
  </si>
  <si>
    <t xml:space="preserve">Подписант 3: если пусто — не печатается на листах</t>
  </si>
  <si>
    <t xml:space="preserve">ТРУБА</t>
  </si>
  <si>
    <t xml:space="preserve">Марка трубы (полная, с паспортом)</t>
  </si>
  <si>
    <t xml:space="preserve">Труба ЭЛЕКТРОПАЙП 225/170 - N 1250 F2 SDR 13,6</t>
  </si>
  <si>
    <t xml:space="preserve">Диаметр трубы</t>
  </si>
  <si>
    <t xml:space="preserve">d=225</t>
  </si>
  <si>
    <t xml:space="preserve">ПАРАМЕТРЫ ГНБ</t>
  </si>
  <si>
    <t xml:space="preserve">Номер ГНБ</t>
  </si>
  <si>
    <t xml:space="preserve">L план</t>
  </si>
  <si>
    <t xml:space="preserve">L профиль</t>
  </si>
  <si>
    <t xml:space="preserve">Кол-во труб</t>
  </si>
  <si>
    <t xml:space="preserve">L трубы</t>
  </si>
  <si>
    <t xml:space="preserve">d скв</t>
  </si>
  <si>
    <t xml:space="preserve">Конфигурация</t>
  </si>
  <si>
    <t xml:space="preserve">Стыки</t>
  </si>
  <si>
    <t xml:space="preserve">↑ Данные из этой таблицы используются в АОСР</t>
  </si>
  <si>
    <t xml:space="preserve">Заказчик:</t>
  </si>
  <si>
    <t xml:space="preserve"> Подрядчик:</t>
  </si>
  <si>
    <t xml:space="preserve">Объект:</t>
  </si>
  <si>
    <t xml:space="preserve">Дата:</t>
  </si>
  <si>
    <t xml:space="preserve">АКТ</t>
  </si>
  <si>
    <t xml:space="preserve">разбивки закрытого перехода методом ГНБ</t>
  </si>
  <si>
    <t xml:space="preserve">Комиссия в составе представителей:</t>
  </si>
  <si>
    <t xml:space="preserve">Инженер-геодезист ООО "Резонанс-Энерго" Минаков Н.А.</t>
  </si>
  <si>
    <t xml:space="preserve">Представитель ЮРЭС АО "ОЭК"</t>
  </si>
  <si>
    <t xml:space="preserve">составили настоящий акт о том, что произведена геодезическая разбивка закрытого перехода</t>
  </si>
  <si>
    <t xml:space="preserve">выполняемого методом ГНБ </t>
  </si>
  <si>
    <t xml:space="preserve">Выполнены следующие работы:</t>
  </si>
  <si>
    <t xml:space="preserve">-привязка и разбивка приемного и рабочего котлованов к зданиям и сооружениям;</t>
  </si>
  <si>
    <t xml:space="preserve">-геодезическая разбивка осей перехода;</t>
  </si>
  <si>
    <t xml:space="preserve">Геодезические работы на устройство закрытого перехода  </t>
  </si>
  <si>
    <t xml:space="preserve">методом ГНБ выполнены  </t>
  </si>
  <si>
    <t xml:space="preserve">в соответствии с СП 126.13330.2017 Геодезические работы в строительстве.</t>
  </si>
  <si>
    <t xml:space="preserve">Представитель  ЮРЭС АО "ОЭК"                             ________________                  </t>
  </si>
  <si>
    <t xml:space="preserve">Генподрядчик:</t>
  </si>
  <si>
    <t xml:space="preserve">герметизации концов труб закрытого перехода</t>
  </si>
  <si>
    <t xml:space="preserve">Произвела осмотр работ выполненных</t>
  </si>
  <si>
    <t xml:space="preserve">и составила настоящий акт о нижеследующем:</t>
  </si>
  <si>
    <t xml:space="preserve">1.      К освидетельствованию и приемке предъявлены следующие работы</t>
  </si>
  <si>
    <t xml:space="preserve">Герметизация концов труб закрытого перехода</t>
  </si>
  <si>
    <t xml:space="preserve">выполненного методом ГНБ</t>
  </si>
  <si>
    <t xml:space="preserve">Расположенного </t>
  </si>
  <si>
    <t xml:space="preserve">2. Работы выполнены по проекту</t>
  </si>
  <si>
    <t xml:space="preserve">Шифр:</t>
  </si>
  <si>
    <t xml:space="preserve">3. При выполнении работ применены заглушки</t>
  </si>
  <si>
    <t xml:space="preserve">4. Дата начала работ</t>
  </si>
  <si>
    <t xml:space="preserve">5. Дата окончания работ </t>
  </si>
  <si>
    <t xml:space="preserve">РЕШЕНИЕ КОМИССИИ</t>
  </si>
  <si>
    <t xml:space="preserve">Работы выполнены в соответствии с проектом, стандартами, строительными нормами и отвечают требованиям их приемки.</t>
  </si>
  <si>
    <t xml:space="preserve">На основании изложенного разрешается обратная засыпка приемного и рабочего котлована строительным песком.</t>
  </si>
  <si>
    <t xml:space="preserve">На скрытые работы закрытого перехода выполненного методом ГНБ </t>
  </si>
  <si>
    <t xml:space="preserve">составили настоящий акт о том, что осмотрены выполненные работы по строительству закрытого перехода</t>
  </si>
  <si>
    <t xml:space="preserve">методом ГНБ</t>
  </si>
  <si>
    <t xml:space="preserve">При осмотре установлено:</t>
  </si>
  <si>
    <t xml:space="preserve">1.</t>
  </si>
  <si>
    <t xml:space="preserve">Длина закрытого перехода</t>
  </si>
  <si>
    <t xml:space="preserve">по плану</t>
  </si>
  <si>
    <t xml:space="preserve">по профилю</t>
  </si>
  <si>
    <t xml:space="preserve">Количество трубоканалов</t>
  </si>
  <si>
    <t xml:space="preserve">Общая длина трубоканалов</t>
  </si>
  <si>
    <t xml:space="preserve">Труба марки</t>
  </si>
  <si>
    <t xml:space="preserve">Заглушки установлены</t>
  </si>
  <si>
    <t xml:space="preserve">Трубоканалы пронумерованы, загерметизированы и проходимы</t>
  </si>
  <si>
    <t xml:space="preserve">Работы выполнены согласно проекта с качеством, удовлетворяющим заказчика</t>
  </si>
  <si>
    <t xml:space="preserve">Работы по устройство закрытого перехода  </t>
  </si>
  <si>
    <t xml:space="preserve">методом ГНБ выполнены в соответствии </t>
  </si>
  <si>
    <t xml:space="preserve">с СП 48.13330.2019 СНиП 12.01-2004 Организация строительства. </t>
  </si>
  <si>
    <t xml:space="preserve">Технического надзора по устройству закрытого перехода методом ГНБ</t>
  </si>
  <si>
    <t xml:space="preserve">1. Устройство закрытого перехода методом ГНБ </t>
  </si>
  <si>
    <t xml:space="preserve">производилось под непрерывным техническим надзором персонала </t>
  </si>
  <si>
    <t xml:space="preserve">Все технические указания </t>
  </si>
  <si>
    <t xml:space="preserve">уполномоченных лиц выполнены в полном объеме в соответствии с правилами устройства закрытых переходов </t>
  </si>
  <si>
    <t xml:space="preserve">и производственных инструкций.</t>
  </si>
  <si>
    <t xml:space="preserve">Технические хар-ки ГНБ Машины: DDW 36/13 , мощностью, кВт – 140</t>
  </si>
  <si>
    <t xml:space="preserve">Качество работ удовлетворительно.</t>
  </si>
  <si>
    <t xml:space="preserve">3. При выполнении работ применены Трубы</t>
  </si>
  <si>
    <t xml:space="preserve">На основании изложенного разрешается производство последующих работ по прокладке кабельной линии</t>
  </si>
  <si>
    <t xml:space="preserve">технической приемки готового закрытого перехода</t>
  </si>
  <si>
    <t xml:space="preserve">устройство закрытого перехода </t>
  </si>
  <si>
    <t xml:space="preserve">3. Дата начала работ</t>
  </si>
  <si>
    <t xml:space="preserve">4. Дата окончания работ </t>
  </si>
  <si>
    <t xml:space="preserve">сдачи-приемки сооружения под прокладку КЛ</t>
  </si>
  <si>
    <t xml:space="preserve">Строительство закрытого перехода</t>
  </si>
  <si>
    <t xml:space="preserve">3. При выполнении работ применена труба</t>
  </si>
  <si>
    <t xml:space="preserve">4. При выполнении работ применены заглушки</t>
  </si>
  <si>
    <t xml:space="preserve">5. Дата начала работ</t>
  </si>
  <si>
    <t xml:space="preserve">6. Дата окончания работ </t>
  </si>
  <si>
    <t xml:space="preserve">освидетельствования скрытых работ</t>
  </si>
  <si>
    <t xml:space="preserve">г. Москва</t>
  </si>
  <si>
    <t xml:space="preserve">Сооружение закрытого перехода</t>
  </si>
  <si>
    <t xml:space="preserve">(наименование работ)</t>
  </si>
  <si>
    <t xml:space="preserve">(наименование здания, сооружения)</t>
  </si>
  <si>
    <t xml:space="preserve">(район застройки, квартал, улица, № дома и корпуса)</t>
  </si>
  <si>
    <t xml:space="preserve">Комиссия в составе</t>
  </si>
  <si>
    <t xml:space="preserve">представителей:</t>
  </si>
  <si>
    <t xml:space="preserve">Ф.И.О., организация)</t>
  </si>
  <si>
    <t xml:space="preserve">1.      К освидетельствованию и приемке предъявлены следующие работы_______________________.</t>
  </si>
  <si>
    <t xml:space="preserve">Устройство закрытого перехода</t>
  </si>
  <si>
    <t xml:space="preserve"> (наименование скрытых работ)</t>
  </si>
  <si>
    <t xml:space="preserve"> </t>
  </si>
  <si>
    <t xml:space="preserve"> (проект серии, наименование проектной организации, № чертежей и дата их составления)</t>
  </si>
  <si>
    <t xml:space="preserve">3.      При выполнении работ применены следующие материалы:</t>
  </si>
  <si>
    <t xml:space="preserve">заглушки 225 мм трубы проходимы; капроновый шнур затянут; заглушки установлены     </t>
  </si>
  <si>
    <t xml:space="preserve">(наименование материалов, конструкций с указанием марки, типа, категории качества и т.п.)</t>
  </si>
  <si>
    <t xml:space="preserve">Работы выполнены в соответствии с проектом, стандартами, строительными нормами и </t>
  </si>
  <si>
    <t xml:space="preserve">отвечают требованиям их приемки.</t>
  </si>
  <si>
    <t xml:space="preserve">На основании изложенного разрешается производство работ по устройству (монтажу)</t>
  </si>
  <si>
    <t xml:space="preserve">прокладку эл. кабеля в закрытый переход</t>
  </si>
  <si>
    <t xml:space="preserve">проверки трубных переходов на соосность</t>
  </si>
  <si>
    <t xml:space="preserve">проверка на соосность труб закрытого перехода</t>
  </si>
  <si>
    <t xml:space="preserve">сварки трубы</t>
  </si>
  <si>
    <t xml:space="preserve">сварка плетей труб для закрытого перехода</t>
  </si>
  <si>
    <t xml:space="preserve">выполняемого методом ГНБ</t>
  </si>
  <si>
    <t xml:space="preserve">2. Количество предъявляемых сварочных стыков:</t>
  </si>
  <si>
    <t xml:space="preserve">3. Работы выполнены по проекту</t>
  </si>
  <si>
    <t xml:space="preserve">4. При выполнении работ применены Трубы</t>
  </si>
  <si>
    <t xml:space="preserve">На основании изложенного разрешается затяжка пэ труб в скважину закрытого перехода.</t>
  </si>
  <si>
    <t xml:space="preserve">ИНВЕНТАРНАЯ ОПИСЬ</t>
  </si>
  <si>
    <t xml:space="preserve">ЭЛЕМЕНТОВ ЗАКРЫТОГО ПЕРЕХОДА</t>
  </si>
  <si>
    <t xml:space="preserve">Закрытый переход</t>
  </si>
  <si>
    <t xml:space="preserve">Расположенный</t>
  </si>
  <si>
    <t xml:space="preserve">№ п.п.</t>
  </si>
  <si>
    <t xml:space="preserve">Материалы</t>
  </si>
  <si>
    <t xml:space="preserve">Ед. изм.</t>
  </si>
  <si>
    <t xml:space="preserve">Кол-во</t>
  </si>
  <si>
    <t xml:space="preserve">Труба</t>
  </si>
  <si>
    <t xml:space="preserve">м.п.</t>
  </si>
  <si>
    <t xml:space="preserve">Капроновый шнур </t>
  </si>
  <si>
    <t xml:space="preserve">Заглушки</t>
  </si>
  <si>
    <t xml:space="preserve">шт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</si>
</sst>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m/d/yyyy"/>
    <numFmt numFmtId="166" formatCode="@"/>
    <numFmt numFmtId="167" formatCode="0"/>
    <numFmt numFmtId="168" formatCode="0.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666666"/>
      <name val="Arial"/>
      <family val="0"/>
      <charset val="1"/>
    </font>
    <font>
      <sz val="11"/>
      <name val="Times New Roman"/>
      <family val="0"/>
      <charset val="1"/>
    </font>
    <font>
      <b val="true"/>
      <sz val="1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sz val="10"/>
      <name val="Arial"/>
      <family val="0"/>
      <charset val="1"/>
    </font>
    <font>
      <b val="true"/>
      <sz val="10.5"/>
      <name val="Times New Roman"/>
      <family val="1"/>
      <charset val="204"/>
    </font>
    <font>
      <i val="true"/>
      <sz val="10.5"/>
      <name val="Times New Roman"/>
      <family val="1"/>
      <charset val="204"/>
    </font>
    <font>
      <i val="true"/>
      <u val="single"/>
      <sz val="10.5"/>
      <name val="Times New Roman"/>
      <family val="1"/>
      <charset val="204"/>
    </font>
    <font>
      <sz val="10.5"/>
      <name val="Times New Roman"/>
      <family val="1"/>
      <charset val="204"/>
    </font>
    <font>
      <u val="single"/>
      <sz val="10.5"/>
      <name val="Times New Roman"/>
      <family val="1"/>
      <charset val="204"/>
    </font>
    <font>
      <b val="true"/>
      <i val="true"/>
      <sz val="10.5"/>
      <name val="Times New Roman"/>
      <family val="1"/>
      <charset val="204"/>
    </font>
    <font>
      <b val="true"/>
      <sz val="11"/>
      <name val="Times New Roman"/>
      <family val="1"/>
      <charset val="204"/>
    </font>
    <font>
      <i val="true"/>
      <sz val="10"/>
      <name val="Times New Roman"/>
      <family val="1"/>
      <charset val="204"/>
    </font>
    <font>
      <i val="true"/>
      <u val="single"/>
      <sz val="11"/>
      <name val="Times New Roman"/>
      <family val="1"/>
      <charset val="204"/>
    </font>
    <font>
      <sz val="11"/>
      <name val="Times New Roman"/>
      <family val="1"/>
      <charset val="204"/>
    </font>
    <font>
      <u val="single"/>
      <sz val="11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10.5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FFF0E0"/>
      </patternFill>
    </fill>
    <fill>
      <patternFill patternType="solid">
        <fgColor rgb="FFFFFFDD"/>
        <bgColor rgb="FFFFF0E0"/>
      </patternFill>
    </fill>
    <fill>
      <patternFill patternType="solid">
        <fgColor rgb="FFFFF0E0"/>
        <bgColor rgb="FFFFFFDD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0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D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52"/>
    <col collapsed="false" customWidth="true" hidden="false" outlineLevel="0" max="8" min="4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/>
      <c r="C2" s="3"/>
    </row>
    <row r="3" customFormat="false" ht="37.3" hidden="false" customHeight="false" outlineLevel="0" collapsed="false">
      <c r="A3" s="4" t="s">
        <v>2</v>
      </c>
      <c r="B3" s="5" t="s">
        <v>3</v>
      </c>
    </row>
    <row r="4" customFormat="false" ht="15" hidden="false" customHeight="false" outlineLevel="0" collapsed="false">
      <c r="A4" s="4" t="s">
        <v>4</v>
      </c>
      <c r="B4" s="5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</row>
    <row r="7" customFormat="false" ht="15" hidden="false" customHeight="false" outlineLevel="0" collapsed="false">
      <c r="A7" s="4" t="s">
        <v>10</v>
      </c>
      <c r="B7" s="5" t="s">
        <v>11</v>
      </c>
    </row>
    <row r="8" customFormat="false" ht="15" hidden="false" customHeight="false" outlineLevel="0" collapsed="false">
      <c r="A8" s="4" t="s">
        <v>12</v>
      </c>
      <c r="B8" s="5" t="s">
        <v>13</v>
      </c>
    </row>
    <row r="9" customFormat="false" ht="15" hidden="false" customHeight="false" outlineLevel="0" collapsed="false">
      <c r="A9" s="4" t="s">
        <v>14</v>
      </c>
      <c r="B9" s="5" t="s">
        <v>15</v>
      </c>
    </row>
    <row r="10" customFormat="false" ht="15" hidden="false" customHeight="false" outlineLevel="0" collapsed="false">
      <c r="A10" s="4" t="s">
        <v>16</v>
      </c>
      <c r="B10" s="5" t="s">
        <v>17</v>
      </c>
    </row>
    <row r="11" customFormat="false" ht="15" hidden="false" customHeight="false" outlineLevel="0" collapsed="false">
      <c r="A11" s="4" t="s">
        <v>18</v>
      </c>
      <c r="B11" s="5" t="s">
        <v>15</v>
      </c>
    </row>
    <row r="13" customFormat="false" ht="15" hidden="false" customHeight="false" outlineLevel="0" collapsed="false">
      <c r="A13" s="2" t="s">
        <v>19</v>
      </c>
      <c r="B13" s="3"/>
      <c r="C13" s="3"/>
    </row>
    <row r="14" customFormat="false" ht="15" hidden="false" customHeight="false" outlineLevel="0" collapsed="false">
      <c r="A14" s="4" t="s">
        <v>20</v>
      </c>
      <c r="B14" s="5" t="s">
        <v>21</v>
      </c>
    </row>
    <row r="15" customFormat="false" ht="15" hidden="false" customHeight="false" outlineLevel="0" collapsed="false">
      <c r="A15" s="4" t="s">
        <v>22</v>
      </c>
      <c r="B15" s="5" t="s">
        <v>23</v>
      </c>
    </row>
    <row r="16" customFormat="false" ht="15" hidden="false" customHeight="false" outlineLevel="0" collapsed="false">
      <c r="A16" s="4" t="s">
        <v>24</v>
      </c>
      <c r="B16" s="5" t="s">
        <v>17</v>
      </c>
    </row>
    <row r="18" customFormat="false" ht="15" hidden="false" customHeight="false" outlineLevel="0" collapsed="false">
      <c r="A18" s="2" t="s">
        <v>25</v>
      </c>
      <c r="B18" s="3"/>
      <c r="C18" s="3"/>
    </row>
    <row r="19" customFormat="false" ht="15" hidden="false" customHeight="false" outlineLevel="0" collapsed="false">
      <c r="A19" s="6" t="s">
        <v>26</v>
      </c>
      <c r="B19" s="6" t="s">
        <v>27</v>
      </c>
      <c r="C19" s="6" t="s">
        <v>28</v>
      </c>
    </row>
    <row r="20" customFormat="false" ht="15" hidden="false" customHeight="false" outlineLevel="0" collapsed="false">
      <c r="A20" s="7" t="s">
        <v>29</v>
      </c>
      <c r="B20" s="5" t="s">
        <v>30</v>
      </c>
      <c r="C20" s="5" t="s">
        <v>31</v>
      </c>
    </row>
    <row r="21" customFormat="false" ht="25.35" hidden="false" customHeight="false" outlineLevel="0" collapsed="false">
      <c r="A21" s="7" t="s">
        <v>32</v>
      </c>
      <c r="B21" s="5" t="s">
        <v>33</v>
      </c>
      <c r="C21" s="5" t="s">
        <v>34</v>
      </c>
    </row>
    <row r="22" customFormat="false" ht="25.35" hidden="false" customHeight="false" outlineLevel="0" collapsed="false">
      <c r="A22" s="7" t="s">
        <v>35</v>
      </c>
      <c r="B22" s="8" t="s">
        <v>36</v>
      </c>
      <c r="C22" s="8" t="s">
        <v>37</v>
      </c>
    </row>
    <row r="23" customFormat="false" ht="15" hidden="false" customHeight="false" outlineLevel="0" collapsed="false">
      <c r="A23" s="7" t="s">
        <v>38</v>
      </c>
      <c r="B23" s="5" t="s">
        <v>39</v>
      </c>
      <c r="C23" s="8" t="s">
        <v>40</v>
      </c>
    </row>
    <row r="24" customFormat="false" ht="15" hidden="false" customHeight="false" outlineLevel="0" collapsed="false">
      <c r="A24" s="9" t="s">
        <v>41</v>
      </c>
    </row>
    <row r="25" customFormat="false" ht="15" hidden="false" customHeight="false" outlineLevel="0" collapsed="false">
      <c r="A25" s="2" t="s">
        <v>42</v>
      </c>
      <c r="B25" s="3"/>
      <c r="C25" s="3"/>
    </row>
    <row r="26" customFormat="false" ht="23.85" hidden="false" customHeight="false" outlineLevel="0" collapsed="false">
      <c r="A26" s="4" t="s">
        <v>43</v>
      </c>
      <c r="B26" s="5" t="s">
        <v>44</v>
      </c>
    </row>
    <row r="27" customFormat="false" ht="15" hidden="false" customHeight="false" outlineLevel="0" collapsed="false">
      <c r="A27" s="4" t="s">
        <v>45</v>
      </c>
      <c r="B27" s="5" t="s">
        <v>46</v>
      </c>
    </row>
    <row r="29" customFormat="false" ht="15" hidden="false" customHeight="false" outlineLevel="0" collapsed="false">
      <c r="A29" s="2" t="s">
        <v>47</v>
      </c>
      <c r="B29" s="3"/>
      <c r="C29" s="3"/>
    </row>
    <row r="30" customFormat="false" ht="15" hidden="false" customHeight="false" outlineLevel="0" collapsed="false">
      <c r="A30" s="6" t="s">
        <v>48</v>
      </c>
      <c r="B30" s="6" t="s">
        <v>49</v>
      </c>
      <c r="C30" s="6" t="s">
        <v>50</v>
      </c>
      <c r="D30" s="6" t="s">
        <v>51</v>
      </c>
      <c r="E30" s="6" t="s">
        <v>52</v>
      </c>
      <c r="F30" s="6" t="s">
        <v>53</v>
      </c>
      <c r="G30" s="6" t="s">
        <v>54</v>
      </c>
      <c r="H30" s="6" t="s">
        <v>55</v>
      </c>
    </row>
    <row r="31" customFormat="false" ht="15" hidden="false" customHeight="false" outlineLevel="0" collapsed="false">
      <c r="A31" s="10" t="s">
        <v>9</v>
      </c>
      <c r="B31" s="11" t="n">
        <v>190.22</v>
      </c>
      <c r="C31" s="11" t="n">
        <v>194.67</v>
      </c>
      <c r="D31" s="11" t="n">
        <v>2</v>
      </c>
      <c r="E31" s="10" t="n">
        <f aca="false">C31*D31</f>
        <v>389.34</v>
      </c>
      <c r="F31" s="11"/>
      <c r="G31" s="10"/>
      <c r="H31" s="10" t="n">
        <f aca="false">E31/13</f>
        <v>29.9492307692308</v>
      </c>
    </row>
    <row r="32" customFormat="false" ht="15" hidden="false" customHeight="false" outlineLevel="0" collapsed="false">
      <c r="A32" s="9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13.7"/>
    <col collapsed="false" customWidth="true" hidden="false" outlineLevel="0" max="3" min="3" style="0" width="16.56"/>
    <col collapsed="false" customWidth="true" hidden="false" outlineLevel="0" max="4" min="4" style="0" width="10.85"/>
    <col collapsed="false" customWidth="true" hidden="false" outlineLevel="0" max="5" min="5" style="0" width="6.85"/>
    <col collapsed="false" customWidth="true" hidden="false" outlineLevel="0" max="6" min="6" style="0" width="8.56"/>
    <col collapsed="false" customWidth="true" hidden="false" outlineLevel="0" max="7" min="7" style="0" width="9.28"/>
    <col collapsed="false" customWidth="true" hidden="false" outlineLevel="0" max="9" min="9" style="0" width="7.56"/>
    <col collapsed="false" customWidth="true" hidden="false" outlineLevel="0" max="10" min="10" style="0" width="10.28"/>
    <col collapsed="false" customWidth="true" hidden="false" outlineLevel="0" max="11" min="11" style="0" width="12.99"/>
    <col collapsed="false" customWidth="true" hidden="false" outlineLevel="0" max="12" min="12" style="0" width="0.28"/>
    <col collapsed="false" customWidth="true" hidden="false" outlineLevel="0" max="13" min="13" style="0" width="9.14"/>
  </cols>
  <sheetData>
    <row r="1" customFormat="false" ht="13.5" hidden="false" customHeight="true" outlineLevel="0" collapsed="false">
      <c r="B1" s="12" t="s">
        <v>57</v>
      </c>
      <c r="C1" s="13" t="str">
        <f aca="false">Лист1!B14</f>
        <v>СВРЭС АО «ОЭК»</v>
      </c>
      <c r="D1" s="13"/>
      <c r="E1" s="13"/>
      <c r="F1" s="13"/>
      <c r="G1" s="14"/>
      <c r="H1" s="13"/>
      <c r="I1" s="13"/>
      <c r="J1" s="13"/>
      <c r="K1" s="13"/>
    </row>
    <row r="2" customFormat="false" ht="13.5" hidden="false" customHeight="true" outlineLevel="0" collapsed="false">
      <c r="B2" s="12" t="s">
        <v>58</v>
      </c>
      <c r="C2" s="13" t="str">
        <f aca="false">Лист1!B15</f>
        <v>АНО «ОЭК Стройтрест»</v>
      </c>
      <c r="D2" s="13"/>
      <c r="E2" s="13"/>
      <c r="F2" s="13"/>
      <c r="G2" s="14"/>
      <c r="H2" s="13"/>
      <c r="I2" s="13"/>
      <c r="J2" s="13"/>
      <c r="K2" s="13"/>
    </row>
    <row r="3" customFormat="false" ht="50.25" hidden="false" customHeight="true" outlineLevel="0" collapsed="false">
      <c r="B3" s="15" t="s">
        <v>59</v>
      </c>
      <c r="C3" s="16" t="str">
        <f aca="false">Лист1!B4</f>
        <v>Резервирование электроснабжения РП 70046</v>
      </c>
      <c r="D3" s="16"/>
      <c r="E3" s="16"/>
      <c r="F3" s="16"/>
      <c r="G3" s="16"/>
      <c r="H3" s="16"/>
      <c r="I3" s="16"/>
      <c r="J3" s="16"/>
      <c r="K3" s="16"/>
    </row>
    <row r="4" customFormat="false" ht="13.5" hidden="false" customHeight="true" outlineLevel="0" collapsed="false">
      <c r="B4" s="15" t="s">
        <v>60</v>
      </c>
      <c r="C4" s="17" t="str">
        <f aca="false">Лист1!B11</f>
        <v>«22» декабря 2025 г.</v>
      </c>
      <c r="G4" s="18"/>
      <c r="H4" s="18"/>
      <c r="I4" s="18"/>
      <c r="J4" s="18"/>
      <c r="K4" s="19"/>
    </row>
    <row r="5" customFormat="false" ht="9.75" hidden="false" customHeight="true" outlineLevel="0" collapsed="false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customFormat="false" ht="15.75" hidden="false" customHeight="true" outlineLevel="0" collapsed="false">
      <c r="A6" s="23" t="s">
        <v>61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customFormat="false" ht="15.75" hidden="false" customHeight="true" outlineLevel="0" collapsed="false">
      <c r="A7" s="23" t="s">
        <v>62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11.25" hidden="false" customHeight="tru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customFormat="false" ht="15.75" hidden="false" customHeight="true" outlineLevel="0" collapsed="false">
      <c r="A9" s="22" t="s">
        <v>63</v>
      </c>
      <c r="B9" s="22"/>
      <c r="C9" s="22"/>
      <c r="D9" s="25"/>
      <c r="E9" s="25"/>
      <c r="F9" s="25"/>
      <c r="G9" s="25"/>
      <c r="H9" s="25"/>
      <c r="I9" s="25"/>
      <c r="J9" s="25"/>
      <c r="K9" s="25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customFormat="false" ht="15.75" hidden="false" customHeight="true" outlineLevel="0" collapsed="false">
      <c r="A10" s="26"/>
      <c r="B10" s="26"/>
      <c r="C10" s="26"/>
      <c r="D10" s="27"/>
      <c r="E10" s="27"/>
      <c r="F10" s="27"/>
      <c r="G10" s="27"/>
      <c r="H10" s="27"/>
      <c r="I10" s="27"/>
      <c r="J10" s="27"/>
      <c r="K10" s="27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customFormat="false" ht="15.75" hidden="false" customHeight="true" outlineLevel="0" collapsed="false">
      <c r="A11" s="28" t="s">
        <v>64</v>
      </c>
      <c r="B11" s="28"/>
      <c r="C11" s="28"/>
      <c r="D11" s="28"/>
      <c r="E11" s="28"/>
      <c r="F11" s="26"/>
      <c r="G11" s="26"/>
      <c r="H11" s="26"/>
      <c r="I11" s="26"/>
      <c r="J11" s="26"/>
      <c r="K11" s="26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15.75" hidden="false" customHeight="true" outlineLevel="0" collapsed="false">
      <c r="A12" s="27" t="str">
        <f aca="false">Лист1!B21</f>
        <v>Представитель подрядной организации АНО "ОЭК Стройтрест"</v>
      </c>
      <c r="B12" s="29"/>
      <c r="D12" s="27"/>
      <c r="E12" s="27"/>
      <c r="F12" s="27"/>
      <c r="G12" s="27"/>
      <c r="H12" s="27"/>
      <c r="I12" s="27"/>
      <c r="J12" s="27"/>
      <c r="K12" s="27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15.75" hidden="false" customHeight="true" outlineLevel="0" collapsed="false">
      <c r="A13" s="20" t="s">
        <v>65</v>
      </c>
      <c r="B13" s="20"/>
      <c r="C13" s="20"/>
      <c r="D13" s="20"/>
      <c r="E13" s="20"/>
      <c r="F13" s="25"/>
      <c r="G13" s="25"/>
      <c r="H13" s="25"/>
      <c r="I13" s="25"/>
      <c r="J13" s="25"/>
      <c r="K13" s="25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15.75" hidden="false" customHeight="true" outlineLevel="0" collapsed="false">
      <c r="A14" s="26" t="s">
        <v>66</v>
      </c>
      <c r="B14" s="30"/>
      <c r="C14" s="26"/>
      <c r="D14" s="30"/>
      <c r="E14" s="31"/>
      <c r="F14" s="31"/>
      <c r="G14" s="31"/>
      <c r="H14" s="31"/>
      <c r="I14" s="31"/>
      <c r="J14" s="32" t="str">
        <f aca="false">Лист1!B6</f>
        <v>ЗП № 5-5</v>
      </c>
      <c r="K14" s="32"/>
      <c r="L14" s="32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5.75" hidden="false" customHeight="true" outlineLevel="0" collapsed="false">
      <c r="A15" s="26" t="s">
        <v>67</v>
      </c>
      <c r="D15" s="33" t="str">
        <f aca="false">Лист1!B5</f>
        <v>г. Москва, Огородный проезд, д. 11, стр. 5</v>
      </c>
      <c r="E15" s="34"/>
      <c r="F15" s="34"/>
      <c r="G15" s="35"/>
      <c r="H15" s="35"/>
      <c r="I15" s="35"/>
      <c r="J15" s="35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5.75" hidden="false" customHeight="true" outlineLevel="0" collapsed="false">
      <c r="A16" s="27"/>
      <c r="B16" s="25"/>
      <c r="C16" s="26"/>
      <c r="D16" s="25"/>
      <c r="E16" s="25"/>
      <c r="F16" s="25"/>
      <c r="G16" s="25"/>
      <c r="H16" s="25"/>
      <c r="I16" s="25"/>
      <c r="J16" s="25"/>
      <c r="K16" s="25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5.75" hidden="false" customHeight="true" outlineLevel="0" collapsed="false">
      <c r="A17" s="36" t="s">
        <v>68</v>
      </c>
      <c r="B17" s="30"/>
      <c r="C17" s="26"/>
      <c r="D17" s="30"/>
      <c r="E17" s="30"/>
      <c r="F17" s="30"/>
      <c r="G17" s="30"/>
      <c r="H17" s="30"/>
      <c r="I17" s="30"/>
      <c r="J17" s="30"/>
      <c r="K17" s="30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customFormat="false" ht="15.75" hidden="false" customHeight="true" outlineLevel="0" collapsed="false">
      <c r="A18" s="37" t="s">
        <v>69</v>
      </c>
      <c r="B18" s="30"/>
      <c r="C18" s="26"/>
      <c r="D18" s="30"/>
      <c r="E18" s="30"/>
      <c r="F18" s="30"/>
      <c r="G18" s="30"/>
      <c r="H18" s="30"/>
      <c r="I18" s="30"/>
      <c r="J18" s="30"/>
      <c r="K18" s="30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customFormat="false" ht="15.75" hidden="false" customHeight="true" outlineLevel="0" collapsed="false">
      <c r="A19" s="37" t="s">
        <v>70</v>
      </c>
      <c r="B19" s="30"/>
      <c r="C19" s="26"/>
      <c r="D19" s="30"/>
      <c r="E19" s="30"/>
      <c r="F19" s="30"/>
      <c r="G19" s="30"/>
      <c r="H19" s="30"/>
      <c r="I19" s="30"/>
      <c r="J19" s="30"/>
      <c r="K19" s="30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customFormat="false" ht="15.75" hidden="false" customHeight="true" outlineLevel="0" collapsed="false">
      <c r="A20" s="27"/>
      <c r="B20" s="30"/>
      <c r="C20" s="26"/>
      <c r="D20" s="30"/>
      <c r="E20" s="30"/>
      <c r="F20" s="30"/>
      <c r="G20" s="30"/>
      <c r="H20" s="30"/>
      <c r="I20" s="30"/>
      <c r="J20" s="30"/>
      <c r="K20" s="30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customFormat="false" ht="15.75" hidden="false" customHeight="true" outlineLevel="0" collapsed="false">
      <c r="A21" s="37" t="s">
        <v>71</v>
      </c>
      <c r="B21" s="30"/>
      <c r="C21" s="26"/>
      <c r="D21" s="30"/>
      <c r="E21" s="30"/>
      <c r="F21" s="32" t="str">
        <f aca="false">Лист1!B6</f>
        <v>ЗП № 5-5</v>
      </c>
      <c r="G21" s="32"/>
      <c r="H21" s="32"/>
      <c r="I21" s="27" t="s">
        <v>72</v>
      </c>
      <c r="J21" s="30"/>
      <c r="K21" s="30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customFormat="false" ht="15.75" hidden="false" customHeight="true" outlineLevel="0" collapsed="false">
      <c r="A22" s="37" t="s">
        <v>73</v>
      </c>
      <c r="B22" s="30"/>
      <c r="C22" s="26"/>
      <c r="D22" s="30"/>
      <c r="E22" s="30"/>
      <c r="F22" s="30"/>
      <c r="G22" s="30"/>
      <c r="H22" s="30"/>
      <c r="I22" s="30"/>
      <c r="J22" s="30"/>
      <c r="K22" s="30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customFormat="false" ht="15.75" hidden="false" customHeight="true" outlineLevel="0" collapsed="false">
      <c r="A23" s="37"/>
      <c r="B23" s="30"/>
      <c r="C23" s="26"/>
      <c r="D23" s="30"/>
      <c r="E23" s="30"/>
      <c r="F23" s="30"/>
      <c r="G23" s="30"/>
      <c r="H23" s="30"/>
      <c r="I23" s="30"/>
      <c r="J23" s="30"/>
      <c r="K23" s="30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>
      <c r="A26" s="27"/>
      <c r="C26" s="27"/>
      <c r="D26" s="27"/>
      <c r="E26" s="27"/>
      <c r="F26" s="27"/>
      <c r="G26" s="27"/>
      <c r="H26" s="27"/>
      <c r="I26" s="27"/>
    </row>
    <row r="27" customFormat="false" ht="15.75" hidden="false" customHeight="true" outlineLevel="0" collapsed="false">
      <c r="A27" s="27"/>
      <c r="C27" s="27"/>
      <c r="D27" s="27"/>
      <c r="E27" s="27"/>
      <c r="F27" s="27"/>
      <c r="G27" s="27"/>
      <c r="H27" s="27"/>
      <c r="I27" s="27"/>
    </row>
    <row r="28" customFormat="false" ht="15.75" hidden="false" customHeight="true" outlineLevel="0" collapsed="false">
      <c r="A28" s="27" t="str">
        <f aca="false">Лист1!C21</f>
        <v>Начальник участка  Буряк А.М.</v>
      </c>
      <c r="C28" s="27"/>
      <c r="D28" s="27"/>
      <c r="E28" s="27"/>
      <c r="F28" s="27"/>
      <c r="G28" s="27"/>
      <c r="H28" s="27"/>
      <c r="I28" s="27"/>
    </row>
    <row r="29" customFormat="false" ht="15.75" hidden="false" customHeight="true" outlineLevel="0" collapsed="false">
      <c r="A29" s="27"/>
      <c r="C29" s="27"/>
      <c r="D29" s="27"/>
      <c r="E29" s="27"/>
      <c r="F29" s="27"/>
      <c r="G29" s="27"/>
      <c r="H29" s="27"/>
      <c r="I29" s="27"/>
    </row>
    <row r="30" customFormat="false" ht="15.75" hidden="false" customHeight="true" outlineLevel="0" collapsed="false">
      <c r="A30" s="27"/>
      <c r="C30" s="27"/>
      <c r="D30" s="27"/>
      <c r="E30" s="27"/>
      <c r="F30" s="27"/>
      <c r="G30" s="27"/>
      <c r="H30" s="27"/>
      <c r="I30" s="27"/>
    </row>
    <row r="31" customFormat="false" ht="15.75" hidden="false" customHeight="true" outlineLevel="0" collapsed="false">
      <c r="A31" s="27" t="str">
        <f aca="false">Лист1!C22</f>
        <v>Начальник участка  Щеглов Р.А.</v>
      </c>
      <c r="C31" s="27"/>
      <c r="D31" s="27"/>
      <c r="E31" s="27"/>
      <c r="F31" s="27"/>
      <c r="G31" s="27"/>
      <c r="H31" s="27"/>
      <c r="I31" s="27"/>
    </row>
    <row r="32" customFormat="false" ht="15.75" hidden="false" customHeight="true" outlineLevel="0" collapsed="false">
      <c r="A32" s="27"/>
      <c r="C32" s="27"/>
      <c r="D32" s="27"/>
      <c r="E32" s="27"/>
      <c r="F32" s="27"/>
      <c r="G32" s="27"/>
      <c r="H32" s="27"/>
      <c r="I32" s="27"/>
    </row>
    <row r="33" customFormat="false" ht="15.75" hidden="false" customHeight="true" outlineLevel="0" collapsed="false">
      <c r="A33" s="20" t="s">
        <v>74</v>
      </c>
      <c r="B33" s="20"/>
      <c r="C33" s="20"/>
      <c r="D33" s="20"/>
      <c r="E33" s="20"/>
      <c r="F33" s="20"/>
      <c r="G33" s="20"/>
      <c r="H33" s="20"/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</sheetData>
  <mergeCells count="11">
    <mergeCell ref="C3:K3"/>
    <mergeCell ref="G4:J4"/>
    <mergeCell ref="A5:B5"/>
    <mergeCell ref="G5:K5"/>
    <mergeCell ref="A6:K6"/>
    <mergeCell ref="A7:K7"/>
    <mergeCell ref="A11:E11"/>
    <mergeCell ref="A13:E13"/>
    <mergeCell ref="J14:L14"/>
    <mergeCell ref="F21:H21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13.7"/>
    <col collapsed="false" customWidth="true" hidden="false" outlineLevel="0" max="3" min="3" style="0" width="16.56"/>
    <col collapsed="false" customWidth="true" hidden="false" outlineLevel="0" max="4" min="4" style="0" width="10.85"/>
    <col collapsed="false" customWidth="true" hidden="false" outlineLevel="0" max="5" min="5" style="0" width="6.41"/>
    <col collapsed="false" customWidth="true" hidden="false" outlineLevel="0" max="6" min="6" style="0" width="8.56"/>
    <col collapsed="false" customWidth="true" hidden="false" outlineLevel="0" max="7" min="7" style="0" width="10.85"/>
    <col collapsed="false" customWidth="true" hidden="false" outlineLevel="0" max="8" min="8" style="0" width="9.28"/>
    <col collapsed="false" customWidth="true" hidden="false" outlineLevel="0" max="10" min="10" style="0" width="8.41"/>
    <col collapsed="false" customWidth="true" hidden="false" outlineLevel="0" max="11" min="11" style="0" width="12.99"/>
    <col collapsed="false" customWidth="true" hidden="false" outlineLevel="0" max="12" min="12" style="0" width="0.28"/>
    <col collapsed="false" customWidth="true" hidden="false" outlineLevel="0" max="13" min="13" style="0" width="9.14"/>
  </cols>
  <sheetData>
    <row r="1" customFormat="false" ht="13.5" hidden="false" customHeight="true" outlineLevel="0" collapsed="false">
      <c r="B1" s="12" t="s">
        <v>57</v>
      </c>
      <c r="C1" s="13" t="str">
        <f aca="false">Лист1!B14</f>
        <v>СВРЭС АО «ОЭК»</v>
      </c>
      <c r="D1" s="13"/>
      <c r="E1" s="13"/>
      <c r="F1" s="13"/>
      <c r="G1" s="14"/>
      <c r="H1" s="13"/>
      <c r="I1" s="13"/>
      <c r="J1" s="13"/>
      <c r="K1" s="13"/>
    </row>
    <row r="2" customFormat="false" ht="13.5" hidden="false" customHeight="true" outlineLevel="0" collapsed="false">
      <c r="B2" s="12" t="s">
        <v>75</v>
      </c>
      <c r="C2" s="13" t="str">
        <f aca="false">Лист1!B15</f>
        <v>АНО «ОЭК Стройтрест»</v>
      </c>
      <c r="D2" s="13"/>
      <c r="E2" s="13"/>
      <c r="F2" s="13"/>
      <c r="G2" s="14"/>
      <c r="H2" s="13"/>
      <c r="I2" s="13"/>
      <c r="J2" s="13"/>
      <c r="K2" s="13"/>
    </row>
    <row r="3" customFormat="false" ht="51.75" hidden="false" customHeight="true" outlineLevel="0" collapsed="false">
      <c r="B3" s="15" t="s">
        <v>59</v>
      </c>
      <c r="C3" s="16" t="str">
        <f aca="false">Лист1!B4</f>
        <v>Резервирование электроснабжения РП 70046</v>
      </c>
      <c r="D3" s="16"/>
      <c r="E3" s="16"/>
      <c r="F3" s="16"/>
      <c r="G3" s="16"/>
      <c r="H3" s="16"/>
      <c r="I3" s="16"/>
      <c r="J3" s="16"/>
      <c r="K3" s="16"/>
    </row>
    <row r="4" customFormat="false" ht="13.5" hidden="false" customHeight="true" outlineLevel="0" collapsed="false">
      <c r="B4" s="15" t="s">
        <v>60</v>
      </c>
      <c r="C4" s="17" t="str">
        <f aca="false">Лист1!B11</f>
        <v>«22» декабря 2025 г.</v>
      </c>
      <c r="G4" s="18"/>
      <c r="H4" s="18"/>
      <c r="I4" s="18"/>
      <c r="J4" s="18"/>
      <c r="K4" s="19"/>
    </row>
    <row r="5" customFormat="false" ht="9.75" hidden="false" customHeight="true" outlineLevel="0" collapsed="false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customFormat="false" ht="13.5" hidden="false" customHeight="true" outlineLevel="0" collapsed="false">
      <c r="A6" s="23" t="s">
        <v>61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customFormat="false" ht="13.5" hidden="false" customHeight="true" outlineLevel="0" collapsed="false">
      <c r="A7" s="23" t="s">
        <v>76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13.5" hidden="false" customHeight="tru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customFormat="false" ht="13.5" hidden="false" customHeight="true" outlineLevel="0" collapsed="false">
      <c r="A9" s="22" t="s">
        <v>63</v>
      </c>
      <c r="B9" s="22"/>
      <c r="C9" s="22"/>
      <c r="D9" s="25"/>
      <c r="E9" s="25"/>
      <c r="F9" s="25"/>
      <c r="G9" s="25"/>
      <c r="H9" s="25"/>
      <c r="I9" s="25"/>
      <c r="J9" s="25"/>
      <c r="K9" s="25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customFormat="false" ht="13.5" hidden="false" customHeight="true" outlineLevel="0" collapsed="false">
      <c r="A10" s="26"/>
      <c r="B10" s="29"/>
      <c r="D10" s="27"/>
      <c r="E10" s="27"/>
      <c r="F10" s="27"/>
      <c r="G10" s="27"/>
      <c r="H10" s="27"/>
      <c r="I10" s="27"/>
      <c r="J10" s="27"/>
      <c r="K10" s="27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customFormat="false" ht="13.5" hidden="false" customHeight="true" outlineLevel="0" collapsed="false">
      <c r="A11" s="26" t="str">
        <f aca="false">Лист1!B20</f>
        <v>Представитель АО «ОЭК»</v>
      </c>
      <c r="B11" s="29"/>
      <c r="D11" s="26"/>
      <c r="E11" s="26"/>
      <c r="F11" s="26"/>
      <c r="G11" s="26"/>
      <c r="H11" s="26"/>
      <c r="I11" s="26"/>
      <c r="J11" s="26"/>
      <c r="K11" s="26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13.5" hidden="false" customHeight="true" outlineLevel="0" collapsed="false">
      <c r="A12" s="27" t="str">
        <f aca="false">Лист1!B21</f>
        <v>Представитель подрядной организации АНО "ОЭК Стройтрест"</v>
      </c>
      <c r="B12" s="29"/>
      <c r="D12" s="27"/>
      <c r="E12" s="27"/>
      <c r="F12" s="27"/>
      <c r="G12" s="27"/>
      <c r="H12" s="27"/>
      <c r="I12" s="27"/>
      <c r="J12" s="27"/>
      <c r="K12" s="27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13.5" hidden="false" customHeight="true" outlineLevel="0" collapsed="false">
      <c r="A13" s="25"/>
      <c r="B13" s="25"/>
      <c r="C13" s="26"/>
      <c r="D13" s="25"/>
      <c r="E13" s="25"/>
      <c r="F13" s="25"/>
      <c r="G13" s="25"/>
      <c r="H13" s="25"/>
      <c r="I13" s="25"/>
      <c r="J13" s="25"/>
      <c r="K13" s="25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14.25" hidden="false" customHeight="true" outlineLevel="0" collapsed="false">
      <c r="A14" s="22" t="s">
        <v>77</v>
      </c>
      <c r="B14" s="30"/>
      <c r="C14" s="26"/>
      <c r="D14" s="30"/>
      <c r="E14" s="32" t="str">
        <f aca="false">Лист1!B10</f>
        <v>ООО «СПЕЦИНЖСТРОЙ»</v>
      </c>
      <c r="F14" s="32"/>
      <c r="G14" s="32"/>
      <c r="H14" s="31"/>
      <c r="I14" s="31"/>
      <c r="J14" s="31"/>
      <c r="K14" s="26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4.25" hidden="false" customHeight="true" outlineLevel="0" collapsed="false">
      <c r="A15" s="31" t="s">
        <v>78</v>
      </c>
      <c r="B15" s="31"/>
      <c r="C15" s="31"/>
      <c r="D15" s="26"/>
      <c r="E15" s="26"/>
      <c r="F15" s="31"/>
      <c r="G15" s="31"/>
      <c r="H15" s="31"/>
      <c r="I15" s="31"/>
      <c r="J15" s="26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3.5" hidden="false" customHeight="true" outlineLevel="0" collapsed="false">
      <c r="A16" s="27" t="s">
        <v>79</v>
      </c>
      <c r="B16" s="30"/>
      <c r="C16" s="26"/>
      <c r="D16" s="25"/>
      <c r="E16" s="25"/>
      <c r="F16" s="25"/>
      <c r="G16" s="25"/>
      <c r="H16" s="25"/>
      <c r="I16" s="25"/>
      <c r="J16" s="25"/>
      <c r="K16" s="25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4.25" hidden="false" customHeight="true" outlineLevel="0" collapsed="false">
      <c r="A17" s="27" t="s">
        <v>80</v>
      </c>
      <c r="B17" s="30"/>
      <c r="C17" s="26"/>
      <c r="D17" s="31"/>
      <c r="E17" s="31"/>
      <c r="F17" s="32" t="str">
        <f aca="false">Лист1!B6</f>
        <v>ЗП № 5-5</v>
      </c>
      <c r="G17" s="32"/>
      <c r="H17" s="32"/>
      <c r="I17" s="27" t="s">
        <v>81</v>
      </c>
      <c r="J17" s="30"/>
      <c r="K17" s="30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customFormat="false" ht="14.25" hidden="false" customHeight="true" outlineLevel="0" collapsed="false">
      <c r="A18" s="27" t="s">
        <v>82</v>
      </c>
      <c r="B18" s="30"/>
      <c r="C18" s="33" t="str">
        <f aca="false">Лист1!B5</f>
        <v>г. Москва, Огородный проезд, д. 11, стр. 5</v>
      </c>
      <c r="D18" s="33"/>
      <c r="E18" s="33"/>
      <c r="F18" s="33"/>
      <c r="G18" s="33"/>
      <c r="H18" s="33"/>
      <c r="I18" s="27"/>
      <c r="J18" s="30"/>
      <c r="K18" s="30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customFormat="false" ht="14.25" hidden="false" customHeight="true" outlineLevel="0" collapsed="false">
      <c r="A19" s="36"/>
      <c r="B19" s="36"/>
      <c r="C19" s="26"/>
      <c r="D19" s="38"/>
      <c r="E19" s="38"/>
      <c r="F19" s="39"/>
      <c r="G19" s="38"/>
      <c r="H19" s="38"/>
      <c r="I19" s="39"/>
      <c r="J19" s="30"/>
      <c r="K19" s="30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customFormat="false" ht="14.25" hidden="false" customHeight="true" outlineLevel="0" collapsed="false">
      <c r="A20" s="27" t="s">
        <v>83</v>
      </c>
      <c r="B20" s="27"/>
      <c r="C20" s="26"/>
      <c r="D20" s="32" t="str">
        <f aca="false">Лист1!B16</f>
        <v>ООО «СПЕЦИНЖСТРОЙ»</v>
      </c>
      <c r="E20" s="32"/>
      <c r="F20" s="32"/>
      <c r="G20" s="38" t="s">
        <v>84</v>
      </c>
      <c r="H20" s="34" t="str">
        <f aca="false">Лист1!B7</f>
        <v>04-ОЭКСТ-КС-25-ТКР.1</v>
      </c>
      <c r="I20" s="34"/>
      <c r="J20" s="34"/>
      <c r="K20" s="30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customFormat="false" ht="14.25" hidden="false" customHeight="true" outlineLevel="0" collapsed="false">
      <c r="A21" s="27"/>
      <c r="B21" s="27"/>
      <c r="C21" s="26"/>
      <c r="D21" s="39"/>
      <c r="E21" s="39"/>
      <c r="F21" s="39"/>
      <c r="G21" s="38"/>
      <c r="H21" s="39"/>
      <c r="I21" s="39"/>
      <c r="J21" s="39"/>
      <c r="K21" s="30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customFormat="false" ht="14.25" hidden="false" customHeight="true" outlineLevel="0" collapsed="false">
      <c r="A22" s="27" t="s">
        <v>85</v>
      </c>
      <c r="B22" s="27"/>
      <c r="C22" s="26"/>
      <c r="D22" s="39"/>
      <c r="E22" s="33" t="str">
        <f aca="false">Лист1!B27</f>
        <v>d=225</v>
      </c>
      <c r="F22" s="33"/>
      <c r="G22" s="33"/>
      <c r="H22" s="33"/>
      <c r="I22" s="33"/>
      <c r="J22" s="33"/>
      <c r="K22" s="30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customFormat="false" ht="13.5" hidden="false" customHeight="true" outlineLevel="0" collapsed="false">
      <c r="A23" s="36"/>
      <c r="B23" s="36"/>
      <c r="C23" s="26"/>
      <c r="D23" s="38"/>
      <c r="E23" s="13"/>
      <c r="F23" s="13"/>
      <c r="G23" s="38"/>
      <c r="H23" s="26"/>
      <c r="I23" s="26"/>
      <c r="J23" s="30"/>
      <c r="K23" s="30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customFormat="false" ht="14.25" hidden="false" customHeight="true" outlineLevel="0" collapsed="false">
      <c r="A24" s="27" t="s">
        <v>86</v>
      </c>
      <c r="B24" s="36"/>
      <c r="C24" s="26"/>
      <c r="D24" s="40" t="str">
        <f aca="false">Лист1!B8</f>
        <v>«10» декабря 2025 г.</v>
      </c>
      <c r="E24" s="40"/>
      <c r="F24" s="40"/>
      <c r="G24" s="38"/>
      <c r="H24" s="13"/>
      <c r="I24" s="13"/>
      <c r="J24" s="30"/>
      <c r="K24" s="30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customFormat="false" ht="13.5" hidden="false" customHeight="true" outlineLevel="0" collapsed="false">
      <c r="A25" s="36"/>
      <c r="B25" s="36"/>
      <c r="C25" s="26"/>
      <c r="D25" s="13"/>
      <c r="E25" s="30"/>
      <c r="F25" s="30"/>
      <c r="G25" s="30"/>
      <c r="H25" s="30"/>
      <c r="I25" s="30"/>
      <c r="J25" s="30"/>
      <c r="K25" s="30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customFormat="false" ht="14.25" hidden="false" customHeight="true" outlineLevel="0" collapsed="false">
      <c r="A26" s="27" t="s">
        <v>87</v>
      </c>
      <c r="B26" s="36"/>
      <c r="C26" s="26"/>
      <c r="D26" s="41" t="str">
        <f aca="false">Лист1!B9</f>
        <v>«22» декабря 2025 г.</v>
      </c>
      <c r="E26" s="41"/>
      <c r="F26" s="41"/>
      <c r="G26" s="30"/>
      <c r="H26" s="30"/>
      <c r="I26" s="30"/>
      <c r="J26" s="30"/>
      <c r="K26" s="30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customFormat="false" ht="13.5" hidden="false" customHeight="true" outlineLevel="0" collapsed="false">
      <c r="A27" s="36"/>
      <c r="B27" s="36"/>
      <c r="C27" s="26"/>
      <c r="D27" s="30"/>
      <c r="E27" s="30"/>
      <c r="F27" s="30"/>
      <c r="G27" s="30"/>
      <c r="H27" s="30"/>
      <c r="I27" s="30"/>
      <c r="J27" s="30"/>
      <c r="K27" s="30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customFormat="false" ht="13.5" hidden="false" customHeight="true" outlineLevel="0" collapsed="false">
      <c r="A28" s="23" t="s">
        <v>88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customFormat="false" ht="13.5" hidden="false" customHeight="true" outlineLevel="0" collapsed="false">
      <c r="A29" s="27" t="s">
        <v>89</v>
      </c>
      <c r="B29" s="36"/>
      <c r="C29" s="26"/>
      <c r="D29" s="30"/>
      <c r="E29" s="30"/>
      <c r="F29" s="30"/>
      <c r="G29" s="30"/>
      <c r="H29" s="30"/>
      <c r="I29" s="30"/>
      <c r="J29" s="30"/>
      <c r="K29" s="30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customFormat="false" ht="14.25" hidden="false" customHeight="true" outlineLevel="0" collapsed="false">
      <c r="A30" s="27" t="s">
        <v>90</v>
      </c>
      <c r="B30" s="36"/>
      <c r="C30" s="26"/>
      <c r="D30" s="30"/>
      <c r="E30" s="31"/>
      <c r="F30" s="31"/>
      <c r="G30" s="31"/>
      <c r="H30" s="36"/>
      <c r="I30" s="30"/>
      <c r="J30" s="30"/>
      <c r="K30" s="30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customFormat="false" ht="14.25" hidden="false" customHeight="true" outlineLevel="0" collapsed="false">
      <c r="A31" s="36"/>
      <c r="B31" s="36"/>
      <c r="C31" s="26"/>
      <c r="D31" s="30"/>
      <c r="E31" s="39"/>
      <c r="F31" s="39"/>
      <c r="G31" s="39"/>
      <c r="H31" s="36"/>
      <c r="I31" s="30"/>
      <c r="J31" s="30"/>
      <c r="K31" s="30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customFormat="false" ht="13.5" hidden="false" customHeight="true" outlineLevel="0" collapsed="false">
      <c r="A32" s="36"/>
      <c r="B32" s="36"/>
      <c r="C32" s="26"/>
      <c r="D32" s="30"/>
      <c r="E32" s="30"/>
      <c r="F32" s="30"/>
      <c r="G32" s="30"/>
      <c r="H32" s="30"/>
      <c r="I32" s="30"/>
      <c r="J32" s="30"/>
      <c r="K32" s="30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5" customFormat="false" ht="13.5" hidden="false" customHeight="true" outlineLevel="0" collapsed="false">
      <c r="A35" s="27" t="str">
        <f aca="false">Лист1!C20</f>
        <v>Мастер по ЭРС СВРЭС  Коробков Ю.Н.</v>
      </c>
      <c r="C35" s="27"/>
      <c r="D35" s="27"/>
      <c r="E35" s="27"/>
      <c r="F35" s="27"/>
      <c r="G35" s="27"/>
      <c r="H35" s="27"/>
      <c r="I35" s="27"/>
    </row>
    <row r="36" customFormat="false" ht="13.5" hidden="false" customHeight="true" outlineLevel="0" collapsed="false">
      <c r="A36" s="27"/>
      <c r="C36" s="27"/>
      <c r="D36" s="27"/>
      <c r="E36" s="27"/>
      <c r="F36" s="27"/>
      <c r="G36" s="27"/>
      <c r="H36" s="27"/>
      <c r="I36" s="27"/>
    </row>
    <row r="37" customFormat="false" ht="13.5" hidden="false" customHeight="true" outlineLevel="0" collapsed="false">
      <c r="A37" s="27" t="str">
        <f aca="false">Лист1!C21</f>
        <v>Начальник участка  Буряк А.М.</v>
      </c>
      <c r="C37" s="27"/>
      <c r="D37" s="27"/>
      <c r="E37" s="27"/>
      <c r="F37" s="27"/>
      <c r="G37" s="27"/>
      <c r="H37" s="27"/>
      <c r="I37" s="27"/>
    </row>
    <row r="38" customFormat="false" ht="13.5" hidden="false" customHeight="true" outlineLevel="0" collapsed="false">
      <c r="A38" s="27"/>
      <c r="C38" s="27"/>
      <c r="D38" s="27"/>
      <c r="E38" s="27"/>
      <c r="F38" s="27"/>
      <c r="G38" s="27"/>
      <c r="H38" s="27"/>
      <c r="I38" s="27"/>
    </row>
    <row r="39" customFormat="false" ht="13.5" hidden="false" customHeight="true" outlineLevel="0" collapsed="false">
      <c r="A39" s="27"/>
      <c r="C39" s="27"/>
      <c r="D39" s="27"/>
      <c r="E39" s="27"/>
      <c r="F39" s="27"/>
      <c r="G39" s="27"/>
      <c r="H39" s="27"/>
      <c r="I39" s="27"/>
    </row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</sheetData>
  <mergeCells count="14">
    <mergeCell ref="C3:K3"/>
    <mergeCell ref="G4:J4"/>
    <mergeCell ref="A5:B5"/>
    <mergeCell ref="G5:K5"/>
    <mergeCell ref="A6:K6"/>
    <mergeCell ref="A7:K7"/>
    <mergeCell ref="E14:G14"/>
    <mergeCell ref="F17:H17"/>
    <mergeCell ref="C18:H18"/>
    <mergeCell ref="D20:F20"/>
    <mergeCell ref="E22:J22"/>
    <mergeCell ref="D24:F24"/>
    <mergeCell ref="D26:F26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13.7"/>
    <col collapsed="false" customWidth="true" hidden="false" outlineLevel="0" max="3" min="3" style="0" width="16.56"/>
    <col collapsed="false" customWidth="true" hidden="false" outlineLevel="0" max="4" min="4" style="0" width="19.99"/>
    <col collapsed="false" customWidth="true" hidden="false" outlineLevel="0" max="5" min="5" style="0" width="7.99"/>
    <col collapsed="false" customWidth="true" hidden="false" outlineLevel="0" max="6" min="6" style="0" width="8.56"/>
    <col collapsed="false" customWidth="true" hidden="false" outlineLevel="0" max="7" min="7" style="0" width="10.85"/>
    <col collapsed="false" customWidth="true" hidden="false" outlineLevel="0" max="8" min="8" style="0" width="9.28"/>
    <col collapsed="false" customWidth="true" hidden="false" outlineLevel="0" max="10" min="10" style="0" width="8.41"/>
    <col collapsed="false" customWidth="true" hidden="false" outlineLevel="0" max="11" min="11" style="0" width="14.85"/>
    <col collapsed="false" customWidth="true" hidden="false" outlineLevel="0" max="12" min="12" style="0" width="0.28"/>
    <col collapsed="false" customWidth="true" hidden="false" outlineLevel="0" max="13" min="13" style="0" width="9.14"/>
  </cols>
  <sheetData>
    <row r="1" customFormat="false" ht="13.5" hidden="false" customHeight="true" outlineLevel="0" collapsed="false">
      <c r="B1" s="12" t="s">
        <v>57</v>
      </c>
      <c r="C1" s="13" t="str">
        <f aca="false">Лист1!B14</f>
        <v>СВРЭС АО «ОЭК»</v>
      </c>
      <c r="D1" s="13"/>
      <c r="E1" s="13"/>
      <c r="F1" s="13"/>
      <c r="G1" s="14"/>
      <c r="H1" s="13"/>
      <c r="I1" s="13"/>
      <c r="J1" s="13"/>
      <c r="K1" s="13"/>
    </row>
    <row r="2" customFormat="false" ht="13.5" hidden="false" customHeight="true" outlineLevel="0" collapsed="false">
      <c r="B2" s="12" t="s">
        <v>75</v>
      </c>
      <c r="C2" s="13" t="str">
        <f aca="false">Лист1!B15</f>
        <v>АНО «ОЭК Стройтрест»</v>
      </c>
      <c r="D2" s="13"/>
      <c r="E2" s="13"/>
      <c r="F2" s="13"/>
      <c r="G2" s="14"/>
      <c r="H2" s="13"/>
      <c r="I2" s="13"/>
      <c r="J2" s="13"/>
      <c r="K2" s="13"/>
    </row>
    <row r="3" customFormat="false" ht="39.75" hidden="false" customHeight="true" outlineLevel="0" collapsed="false">
      <c r="B3" s="15" t="s">
        <v>59</v>
      </c>
      <c r="C3" s="16" t="str">
        <f aca="false">Лист1!B4</f>
        <v>Резервирование электроснабжения РП 70046</v>
      </c>
      <c r="D3" s="16"/>
      <c r="E3" s="16"/>
      <c r="F3" s="16"/>
      <c r="G3" s="16"/>
      <c r="H3" s="16"/>
      <c r="I3" s="16"/>
      <c r="J3" s="16"/>
      <c r="K3" s="16"/>
    </row>
    <row r="4" customFormat="false" ht="13.5" hidden="false" customHeight="true" outlineLevel="0" collapsed="false">
      <c r="B4" s="15" t="s">
        <v>60</v>
      </c>
      <c r="C4" s="17" t="str">
        <f aca="false">Лист1!B11</f>
        <v>«22» декабря 2025 г.</v>
      </c>
      <c r="G4" s="18"/>
      <c r="H4" s="18"/>
      <c r="I4" s="18"/>
      <c r="J4" s="18"/>
      <c r="K4" s="19"/>
    </row>
    <row r="5" customFormat="false" ht="9.75" hidden="false" customHeight="true" outlineLevel="0" collapsed="false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customFormat="false" ht="13.5" hidden="false" customHeight="true" outlineLevel="0" collapsed="false">
      <c r="A6" s="23" t="s">
        <v>61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customFormat="false" ht="13.5" hidden="false" customHeight="true" outlineLevel="0" collapsed="false">
      <c r="A7" s="23" t="s">
        <v>91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13.5" hidden="false" customHeight="tru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customFormat="false" ht="13.5" hidden="false" customHeight="true" outlineLevel="0" collapsed="false">
      <c r="A9" s="22" t="s">
        <v>63</v>
      </c>
      <c r="B9" s="22"/>
      <c r="C9" s="22"/>
      <c r="D9" s="25"/>
      <c r="E9" s="25"/>
      <c r="F9" s="25"/>
      <c r="G9" s="25"/>
      <c r="H9" s="25"/>
      <c r="I9" s="25"/>
      <c r="J9" s="25"/>
      <c r="K9" s="25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customFormat="false" ht="13.5" hidden="false" customHeight="true" outlineLevel="0" collapsed="false">
      <c r="A10" s="26"/>
      <c r="B10" s="26"/>
      <c r="C10" s="26"/>
      <c r="D10" s="27"/>
      <c r="E10" s="27"/>
      <c r="F10" s="27"/>
      <c r="G10" s="27"/>
      <c r="H10" s="27"/>
      <c r="I10" s="27"/>
      <c r="J10" s="27"/>
      <c r="K10" s="27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customFormat="false" ht="13.5" hidden="false" customHeight="true" outlineLevel="0" collapsed="false">
      <c r="A11" s="26" t="str">
        <f aca="false">Лист1!B20</f>
        <v>Представитель АО «ОЭК»</v>
      </c>
      <c r="B11" s="29"/>
      <c r="D11" s="26"/>
      <c r="E11" s="26"/>
      <c r="F11" s="26"/>
      <c r="G11" s="26"/>
      <c r="H11" s="26"/>
      <c r="I11" s="26"/>
      <c r="J11" s="26"/>
      <c r="K11" s="26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13.5" hidden="false" customHeight="true" outlineLevel="0" collapsed="false">
      <c r="A12" s="27" t="str">
        <f aca="false">Лист1!B21</f>
        <v>Представитель подрядной организации АНО "ОЭК Стройтрест"</v>
      </c>
      <c r="B12" s="29"/>
      <c r="D12" s="27"/>
      <c r="E12" s="27"/>
      <c r="F12" s="27"/>
      <c r="G12" s="27"/>
      <c r="H12" s="27"/>
      <c r="I12" s="27"/>
      <c r="J12" s="27"/>
      <c r="K12" s="27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13.5" hidden="false" customHeight="true" outlineLevel="0" collapsed="false">
      <c r="A13" s="25"/>
      <c r="B13" s="25"/>
      <c r="C13" s="26"/>
      <c r="D13" s="25"/>
      <c r="E13" s="25"/>
      <c r="F13" s="25"/>
      <c r="G13" s="25"/>
      <c r="H13" s="25"/>
      <c r="I13" s="25"/>
      <c r="J13" s="25"/>
      <c r="K13" s="25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14.25" hidden="false" customHeight="true" outlineLevel="0" collapsed="false">
      <c r="A14" s="26" t="s">
        <v>92</v>
      </c>
      <c r="B14" s="30"/>
      <c r="C14" s="26"/>
      <c r="D14" s="30"/>
      <c r="E14" s="31"/>
      <c r="F14" s="31"/>
      <c r="G14" s="31"/>
      <c r="H14" s="31"/>
      <c r="I14" s="31"/>
      <c r="J14" s="31"/>
      <c r="K14" s="26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4.25" hidden="false" customHeight="true" outlineLevel="0" collapsed="false">
      <c r="A15" s="32" t="str">
        <f aca="false">Лист1!B6</f>
        <v>ЗП № 5-5</v>
      </c>
      <c r="B15" s="32"/>
      <c r="C15" s="32"/>
      <c r="D15" s="28" t="s">
        <v>93</v>
      </c>
      <c r="E15" s="28"/>
      <c r="F15" s="34" t="str">
        <f aca="false">Лист1!B5</f>
        <v>г. Москва, Огородный проезд, д. 11, стр. 5</v>
      </c>
      <c r="G15" s="34"/>
      <c r="H15" s="34"/>
      <c r="I15" s="34"/>
      <c r="J15" s="35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3.5" hidden="false" customHeight="true" outlineLevel="0" collapsed="false">
      <c r="A16" s="27"/>
      <c r="B16" s="25"/>
      <c r="C16" s="26"/>
      <c r="D16" s="25"/>
      <c r="E16" s="25"/>
      <c r="F16" s="25"/>
      <c r="G16" s="25"/>
      <c r="H16" s="25"/>
      <c r="I16" s="25"/>
      <c r="J16" s="25"/>
      <c r="K16" s="25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3.5" hidden="false" customHeight="true" outlineLevel="0" collapsed="false">
      <c r="A17" s="36" t="s">
        <v>94</v>
      </c>
      <c r="B17" s="30"/>
      <c r="C17" s="26"/>
      <c r="D17" s="30"/>
      <c r="E17" s="30"/>
      <c r="F17" s="30"/>
      <c r="G17" s="30"/>
      <c r="H17" s="30"/>
      <c r="I17" s="30"/>
      <c r="J17" s="30"/>
      <c r="K17" s="30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customFormat="false" ht="14.25" hidden="false" customHeight="true" outlineLevel="0" collapsed="false">
      <c r="A18" s="36" t="s">
        <v>95</v>
      </c>
      <c r="B18" s="36" t="s">
        <v>96</v>
      </c>
      <c r="C18" s="26"/>
      <c r="D18" s="38" t="str">
        <f aca="false">Лист1!A31</f>
        <v>ЗП № 5-5</v>
      </c>
      <c r="E18" s="38" t="s">
        <v>97</v>
      </c>
      <c r="F18" s="32" t="n">
        <f aca="false">Лист1!B31</f>
        <v>190.22</v>
      </c>
      <c r="G18" s="38" t="s">
        <v>98</v>
      </c>
      <c r="H18" s="32" t="n">
        <f aca="false">Лист1!C31</f>
        <v>194.67</v>
      </c>
      <c r="I18" s="39"/>
      <c r="J18" s="30"/>
      <c r="K18" s="30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customFormat="false" ht="13.5" hidden="false" customHeight="true" outlineLevel="0" collapsed="false">
      <c r="A19" s="36" t="n">
        <v>2</v>
      </c>
      <c r="B19" s="36" t="s">
        <v>99</v>
      </c>
      <c r="C19" s="26"/>
      <c r="D19" s="38" t="str">
        <f aca="false">Лист1!A31</f>
        <v>ЗП № 5-5</v>
      </c>
      <c r="E19" s="42" t="n">
        <f aca="false">Лист1!D31</f>
        <v>2</v>
      </c>
      <c r="F19" s="42"/>
      <c r="G19" s="38"/>
      <c r="H19" s="28"/>
      <c r="I19" s="28"/>
      <c r="J19" s="30"/>
      <c r="K19" s="30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customFormat="false" ht="13.5" hidden="false" customHeight="true" outlineLevel="0" collapsed="false">
      <c r="A20" s="36" t="n">
        <v>3</v>
      </c>
      <c r="B20" s="36" t="s">
        <v>100</v>
      </c>
      <c r="C20" s="26"/>
      <c r="D20" s="38" t="str">
        <f aca="false">Лист1!A31</f>
        <v>ЗП № 5-5</v>
      </c>
      <c r="E20" s="42" t="n">
        <f aca="false">Лист1!E31</f>
        <v>389.34</v>
      </c>
      <c r="F20" s="42"/>
      <c r="G20" s="38"/>
      <c r="H20" s="43"/>
      <c r="I20" s="43"/>
      <c r="J20" s="30"/>
      <c r="K20" s="30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customFormat="false" ht="29.25" hidden="false" customHeight="true" outlineLevel="0" collapsed="false">
      <c r="A21" s="36" t="n">
        <v>4</v>
      </c>
      <c r="B21" s="36" t="s">
        <v>101</v>
      </c>
      <c r="D21" s="44" t="str">
        <f aca="false">Лист1!B26</f>
        <v>Труба ЭЛЕКТРОПАЙП 225/170 - N 1250 F2 SDR 13,6</v>
      </c>
      <c r="E21" s="44"/>
      <c r="F21" s="44"/>
      <c r="G21" s="44"/>
      <c r="H21" s="44"/>
      <c r="I21" s="44"/>
      <c r="J21" s="30"/>
      <c r="K21" s="30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customFormat="false" ht="13.5" hidden="false" customHeight="true" outlineLevel="0" collapsed="false">
      <c r="A22" s="36" t="n">
        <v>5</v>
      </c>
      <c r="B22" s="36" t="s">
        <v>102</v>
      </c>
      <c r="C22" s="26"/>
      <c r="D22" s="30"/>
      <c r="E22" s="30"/>
      <c r="F22" s="30"/>
      <c r="G22" s="30"/>
      <c r="H22" s="30"/>
      <c r="I22" s="30"/>
      <c r="J22" s="30"/>
      <c r="K22" s="30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customFormat="false" ht="13.5" hidden="false" customHeight="true" outlineLevel="0" collapsed="false">
      <c r="A23" s="36" t="n">
        <v>6</v>
      </c>
      <c r="B23" s="36" t="s">
        <v>103</v>
      </c>
      <c r="C23" s="26"/>
      <c r="D23" s="30"/>
      <c r="E23" s="30"/>
      <c r="F23" s="30"/>
      <c r="G23" s="30"/>
      <c r="H23" s="30"/>
      <c r="I23" s="30"/>
      <c r="J23" s="30"/>
      <c r="K23" s="30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customFormat="false" ht="13.5" hidden="false" customHeight="true" outlineLevel="0" collapsed="false">
      <c r="A24" s="36" t="n">
        <v>7</v>
      </c>
      <c r="B24" s="36" t="s">
        <v>104</v>
      </c>
      <c r="C24" s="26"/>
      <c r="D24" s="30"/>
      <c r="E24" s="30"/>
      <c r="F24" s="30"/>
      <c r="G24" s="30"/>
      <c r="H24" s="30"/>
      <c r="I24" s="30"/>
      <c r="J24" s="30"/>
      <c r="K24" s="30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customFormat="false" ht="13.5" hidden="false" customHeight="true" outlineLevel="0" collapsed="false">
      <c r="A25" s="36"/>
      <c r="B25" s="36"/>
      <c r="C25" s="26"/>
      <c r="D25" s="30"/>
      <c r="E25" s="30"/>
      <c r="F25" s="30"/>
      <c r="G25" s="30"/>
      <c r="H25" s="30"/>
      <c r="I25" s="30"/>
      <c r="J25" s="30"/>
      <c r="K25" s="30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customFormat="false" ht="14.25" hidden="false" customHeight="true" outlineLevel="0" collapsed="false">
      <c r="A26" s="36" t="s">
        <v>105</v>
      </c>
      <c r="B26" s="36"/>
      <c r="C26" s="26"/>
      <c r="D26" s="30"/>
      <c r="E26" s="32" t="str">
        <f aca="false">Лист1!B6</f>
        <v>ЗП № 5-5</v>
      </c>
      <c r="F26" s="32"/>
      <c r="G26" s="32"/>
      <c r="H26" s="36" t="s">
        <v>106</v>
      </c>
      <c r="I26" s="30"/>
      <c r="J26" s="30"/>
      <c r="K26" s="30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customFormat="false" ht="14.25" hidden="false" customHeight="true" outlineLevel="0" collapsed="false">
      <c r="A27" s="36" t="s">
        <v>107</v>
      </c>
      <c r="B27" s="36"/>
      <c r="C27" s="26"/>
      <c r="D27" s="30"/>
      <c r="E27" s="39"/>
      <c r="F27" s="39"/>
      <c r="G27" s="39"/>
      <c r="H27" s="36"/>
      <c r="I27" s="30"/>
      <c r="J27" s="30"/>
      <c r="K27" s="30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customFormat="false" ht="14.25" hidden="false" customHeight="true" outlineLevel="0" collapsed="false">
      <c r="A28" s="36"/>
      <c r="B28" s="36"/>
      <c r="C28" s="26"/>
      <c r="D28" s="30"/>
      <c r="E28" s="39"/>
      <c r="F28" s="39"/>
      <c r="G28" s="39"/>
      <c r="H28" s="36"/>
      <c r="I28" s="30"/>
      <c r="J28" s="30"/>
      <c r="K28" s="30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customFormat="false" ht="13.5" hidden="false" customHeight="true" outlineLevel="0" collapsed="false">
      <c r="A29" s="36"/>
      <c r="B29" s="36"/>
      <c r="C29" s="26"/>
      <c r="D29" s="30"/>
      <c r="E29" s="30"/>
      <c r="F29" s="30"/>
      <c r="G29" s="30"/>
      <c r="H29" s="30"/>
      <c r="I29" s="30"/>
      <c r="J29" s="30"/>
      <c r="K29" s="30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2" customFormat="false" ht="13.5" hidden="false" customHeight="true" outlineLevel="0" collapsed="false">
      <c r="A32" s="27" t="str">
        <f aca="false">Лист1!C20</f>
        <v>Мастер по ЭРС СВРЭС  Коробков Ю.Н.</v>
      </c>
      <c r="C32" s="27"/>
      <c r="D32" s="27"/>
      <c r="E32" s="27"/>
      <c r="F32" s="27"/>
      <c r="G32" s="27"/>
      <c r="H32" s="27"/>
      <c r="I32" s="27"/>
    </row>
    <row r="33" customFormat="false" ht="13.5" hidden="false" customHeight="true" outlineLevel="0" collapsed="false">
      <c r="A33" s="27"/>
      <c r="C33" s="27"/>
      <c r="D33" s="27"/>
      <c r="E33" s="27"/>
      <c r="F33" s="27"/>
      <c r="G33" s="27"/>
      <c r="H33" s="27"/>
      <c r="I33" s="27"/>
    </row>
    <row r="34" customFormat="false" ht="13.5" hidden="false" customHeight="true" outlineLevel="0" collapsed="false">
      <c r="A34" s="27" t="str">
        <f aca="false">Лист1!C21</f>
        <v>Начальник участка  Буряк А.М.</v>
      </c>
      <c r="C34" s="27"/>
      <c r="D34" s="27"/>
      <c r="E34" s="27"/>
      <c r="F34" s="27"/>
      <c r="G34" s="27"/>
      <c r="H34" s="27"/>
      <c r="I34" s="27"/>
    </row>
    <row r="35" customFormat="false" ht="13.5" hidden="false" customHeight="true" outlineLevel="0" collapsed="false">
      <c r="A35" s="27"/>
      <c r="C35" s="27"/>
      <c r="D35" s="27"/>
      <c r="E35" s="27"/>
      <c r="F35" s="27"/>
      <c r="G35" s="27"/>
      <c r="H35" s="27"/>
      <c r="I35" s="27"/>
    </row>
    <row r="36" customFormat="false" ht="13.5" hidden="false" customHeight="true" outlineLevel="0" collapsed="false">
      <c r="A36" s="27"/>
      <c r="C36" s="27"/>
      <c r="D36" s="27"/>
      <c r="E36" s="27"/>
      <c r="F36" s="27"/>
      <c r="G36" s="27"/>
      <c r="H36" s="27"/>
      <c r="I36" s="27"/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</sheetData>
  <mergeCells count="14">
    <mergeCell ref="C3:K3"/>
    <mergeCell ref="G4:J4"/>
    <mergeCell ref="A5:B5"/>
    <mergeCell ref="G5:K5"/>
    <mergeCell ref="A6:K6"/>
    <mergeCell ref="A7:K7"/>
    <mergeCell ref="A15:C15"/>
    <mergeCell ref="D15:E15"/>
    <mergeCell ref="E19:F19"/>
    <mergeCell ref="H19:I19"/>
    <mergeCell ref="E20:F20"/>
    <mergeCell ref="H20:I20"/>
    <mergeCell ref="D21:I21"/>
    <mergeCell ref="E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13.7"/>
    <col collapsed="false" customWidth="true" hidden="false" outlineLevel="0" max="3" min="3" style="0" width="16.56"/>
    <col collapsed="false" customWidth="true" hidden="false" outlineLevel="0" max="4" min="4" style="0" width="10.85"/>
    <col collapsed="false" customWidth="true" hidden="false" outlineLevel="0" max="5" min="5" style="0" width="6.41"/>
    <col collapsed="false" customWidth="true" hidden="false" outlineLevel="0" max="6" min="6" style="0" width="8.56"/>
    <col collapsed="false" customWidth="true" hidden="false" outlineLevel="0" max="7" min="7" style="0" width="12.99"/>
    <col collapsed="false" customWidth="true" hidden="false" outlineLevel="0" max="8" min="8" style="0" width="10.28"/>
    <col collapsed="false" customWidth="true" hidden="false" outlineLevel="0" max="9" min="9" style="0" width="9.28"/>
    <col collapsed="false" customWidth="true" hidden="false" outlineLevel="0" max="10" min="10" style="0" width="8.41"/>
    <col collapsed="false" customWidth="true" hidden="false" outlineLevel="0" max="11" min="11" style="0" width="8.99"/>
    <col collapsed="false" customWidth="true" hidden="false" outlineLevel="0" max="12" min="12" style="0" width="1.41"/>
    <col collapsed="false" customWidth="true" hidden="false" outlineLevel="0" max="13" min="13" style="0" width="9.14"/>
  </cols>
  <sheetData>
    <row r="1" customFormat="false" ht="15" hidden="false" customHeight="true" outlineLevel="0" collapsed="false">
      <c r="B1" s="45" t="s">
        <v>57</v>
      </c>
      <c r="C1" s="46" t="str">
        <f aca="false">Лист1!B14</f>
        <v>СВРЭС АО «ОЭК»</v>
      </c>
      <c r="D1" s="46"/>
      <c r="E1" s="46"/>
      <c r="F1" s="46"/>
      <c r="G1" s="47"/>
      <c r="H1" s="46"/>
      <c r="I1" s="46"/>
      <c r="J1" s="46"/>
      <c r="K1" s="46"/>
    </row>
    <row r="2" customFormat="false" ht="15" hidden="false" customHeight="true" outlineLevel="0" collapsed="false">
      <c r="B2" s="45" t="s">
        <v>75</v>
      </c>
      <c r="C2" s="46" t="str">
        <f aca="false">Лист1!B15</f>
        <v>АНО «ОЭК Стройтрест»</v>
      </c>
      <c r="D2" s="46"/>
      <c r="E2" s="46"/>
      <c r="F2" s="46"/>
      <c r="G2" s="47"/>
      <c r="H2" s="46"/>
      <c r="I2" s="46"/>
      <c r="J2" s="46"/>
      <c r="K2" s="46"/>
    </row>
    <row r="3" customFormat="false" ht="45.75" hidden="false" customHeight="true" outlineLevel="0" collapsed="false">
      <c r="B3" s="48" t="s">
        <v>59</v>
      </c>
      <c r="C3" s="49" t="str">
        <f aca="false">Лист1!B4</f>
        <v>Резервирование электроснабжения РП 70046</v>
      </c>
      <c r="D3" s="49"/>
      <c r="E3" s="49"/>
      <c r="F3" s="49"/>
      <c r="G3" s="49"/>
      <c r="H3" s="49"/>
      <c r="I3" s="49"/>
      <c r="J3" s="49"/>
      <c r="K3" s="49"/>
    </row>
    <row r="4" customFormat="false" ht="15" hidden="false" customHeight="true" outlineLevel="0" collapsed="false">
      <c r="B4" s="48" t="s">
        <v>60</v>
      </c>
      <c r="C4" s="50" t="str">
        <f aca="false">Лист1!B11</f>
        <v>«22» декабря 2025 г.</v>
      </c>
      <c r="G4" s="51"/>
      <c r="H4" s="51"/>
      <c r="I4" s="51"/>
      <c r="J4" s="51"/>
      <c r="K4" s="52"/>
    </row>
    <row r="5" customFormat="false" ht="9.75" hidden="false" customHeight="true" outlineLevel="0" collapsed="false">
      <c r="A5" s="53"/>
      <c r="B5" s="53"/>
      <c r="G5" s="54"/>
      <c r="H5" s="54"/>
      <c r="I5" s="54"/>
      <c r="J5" s="54"/>
      <c r="K5" s="54"/>
      <c r="O5" s="55"/>
      <c r="P5" s="55"/>
      <c r="Q5" s="55"/>
      <c r="R5" s="55"/>
      <c r="S5" s="55"/>
    </row>
    <row r="6" customFormat="false" ht="15.75" hidden="false" customHeight="true" outlineLevel="0" collapsed="false">
      <c r="A6" s="23" t="s">
        <v>61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</row>
    <row r="7" customFormat="false" ht="15.75" hidden="false" customHeight="true" outlineLevel="0" collapsed="false">
      <c r="A7" s="23" t="s">
        <v>108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6"/>
      <c r="M7" s="26"/>
      <c r="N7" s="26"/>
      <c r="O7" s="26"/>
      <c r="P7" s="26"/>
      <c r="Q7" s="24"/>
      <c r="R7" s="24"/>
      <c r="S7" s="24"/>
      <c r="T7" s="24"/>
      <c r="U7" s="24"/>
      <c r="V7" s="24"/>
      <c r="W7" s="24"/>
      <c r="X7" s="24"/>
      <c r="Y7" s="24"/>
      <c r="Z7" s="24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</row>
    <row r="8" customFormat="false" ht="11.25" hidden="false" customHeight="tru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6"/>
      <c r="M8" s="26"/>
      <c r="N8" s="26"/>
      <c r="O8" s="26"/>
      <c r="P8" s="26"/>
      <c r="Q8" s="24"/>
      <c r="R8" s="24"/>
      <c r="S8" s="24"/>
      <c r="T8" s="24"/>
      <c r="U8" s="24"/>
      <c r="V8" s="24"/>
      <c r="W8" s="24"/>
      <c r="X8" s="24"/>
      <c r="Y8" s="24"/>
      <c r="Z8" s="24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</row>
    <row r="9" customFormat="false" ht="15.75" hidden="false" customHeight="true" outlineLevel="0" collapsed="false">
      <c r="A9" s="22" t="s">
        <v>63</v>
      </c>
      <c r="B9" s="22"/>
      <c r="C9" s="22"/>
      <c r="D9" s="25"/>
      <c r="E9" s="25"/>
      <c r="F9" s="25"/>
      <c r="G9" s="25"/>
      <c r="H9" s="25"/>
      <c r="I9" s="25"/>
      <c r="J9" s="25"/>
      <c r="K9" s="25"/>
      <c r="L9" s="26"/>
      <c r="M9" s="26"/>
      <c r="N9" s="26"/>
      <c r="O9" s="26"/>
      <c r="P9" s="26"/>
      <c r="Q9" s="24"/>
      <c r="R9" s="24"/>
      <c r="S9" s="24"/>
      <c r="T9" s="24"/>
      <c r="U9" s="24"/>
      <c r="V9" s="24"/>
      <c r="W9" s="24"/>
      <c r="X9" s="24"/>
      <c r="Y9" s="24"/>
      <c r="Z9" s="24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</row>
    <row r="10" customFormat="false" ht="13.5" hidden="false" customHeight="true" outlineLevel="0" collapsed="false">
      <c r="A10" s="26"/>
      <c r="B10" s="26"/>
      <c r="C10" s="26"/>
      <c r="D10" s="27"/>
      <c r="E10" s="27"/>
      <c r="F10" s="27"/>
      <c r="G10" s="27"/>
      <c r="H10" s="27"/>
      <c r="I10" s="27"/>
      <c r="J10" s="27"/>
      <c r="K10" s="27"/>
      <c r="L10" s="26"/>
      <c r="M10" s="26"/>
      <c r="N10" s="26"/>
      <c r="O10" s="26"/>
      <c r="P10" s="26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</row>
    <row r="11" customFormat="false" ht="13.5" hidden="false" customHeight="true" outlineLevel="0" collapsed="false">
      <c r="A11" s="26" t="str">
        <f aca="false">Лист1!B20</f>
        <v>Представитель АО «ОЭК»</v>
      </c>
      <c r="B11" s="29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</row>
    <row r="12" customFormat="false" ht="13.5" hidden="false" customHeight="true" outlineLevel="0" collapsed="false">
      <c r="A12" s="27" t="str">
        <f aca="false">Лист1!B21</f>
        <v>Представитель подрядной организации АНО "ОЭК Стройтрест"</v>
      </c>
      <c r="B12" s="29"/>
      <c r="C12" s="26"/>
      <c r="D12" s="27"/>
      <c r="E12" s="27"/>
      <c r="F12" s="27"/>
      <c r="G12" s="27"/>
      <c r="H12" s="27"/>
      <c r="I12" s="27"/>
      <c r="J12" s="27"/>
      <c r="K12" s="27"/>
      <c r="L12" s="26"/>
      <c r="M12" s="26"/>
      <c r="N12" s="26"/>
      <c r="O12" s="26"/>
      <c r="P12" s="26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</row>
    <row r="13" customFormat="false" ht="15.75" hidden="false" customHeight="true" outlineLevel="0" collapsed="false">
      <c r="A13" s="25"/>
      <c r="B13" s="25"/>
      <c r="C13" s="26"/>
      <c r="D13" s="25"/>
      <c r="E13" s="25"/>
      <c r="F13" s="25"/>
      <c r="G13" s="25"/>
      <c r="H13" s="25"/>
      <c r="I13" s="25"/>
      <c r="J13" s="25"/>
      <c r="K13" s="25"/>
      <c r="L13" s="26"/>
      <c r="M13" s="26"/>
      <c r="N13" s="26"/>
      <c r="O13" s="26"/>
      <c r="P13" s="26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</row>
    <row r="14" customFormat="false" ht="15.75" hidden="false" customHeight="true" outlineLevel="0" collapsed="false">
      <c r="A14" s="26" t="s">
        <v>77</v>
      </c>
      <c r="B14" s="30"/>
      <c r="C14" s="26"/>
      <c r="D14" s="30"/>
      <c r="E14" s="32" t="str">
        <f aca="false">Лист1!B10</f>
        <v>ООО «СПЕЦИНЖСТРОЙ»</v>
      </c>
      <c r="F14" s="32"/>
      <c r="G14" s="32"/>
      <c r="H14" s="31"/>
      <c r="I14" s="31"/>
      <c r="J14" s="31"/>
      <c r="K14" s="26"/>
      <c r="L14" s="26"/>
      <c r="M14" s="26"/>
      <c r="N14" s="26"/>
      <c r="O14" s="26"/>
      <c r="P14" s="26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</row>
    <row r="15" customFormat="false" ht="15.75" hidden="false" customHeight="true" outlineLevel="0" collapsed="false">
      <c r="A15" s="26" t="s">
        <v>109</v>
      </c>
      <c r="B15" s="31"/>
      <c r="C15" s="31"/>
      <c r="D15" s="26"/>
      <c r="E15" s="56" t="str">
        <f aca="false">Лист1!B6</f>
        <v>ЗП № 5-5</v>
      </c>
      <c r="F15" s="56"/>
      <c r="G15" s="56"/>
      <c r="H15" s="31"/>
      <c r="I15" s="31"/>
      <c r="J15" s="26"/>
      <c r="K15" s="26"/>
      <c r="L15" s="26"/>
      <c r="M15" s="26"/>
      <c r="N15" s="26"/>
      <c r="O15" s="26"/>
      <c r="P15" s="26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</row>
    <row r="16" customFormat="false" ht="15.75" hidden="false" customHeight="true" outlineLevel="0" collapsed="false">
      <c r="A16" s="26" t="s">
        <v>110</v>
      </c>
      <c r="B16" s="31"/>
      <c r="C16" s="31"/>
      <c r="D16" s="26"/>
      <c r="E16" s="26"/>
      <c r="F16" s="31"/>
      <c r="G16" s="31"/>
      <c r="H16" s="31"/>
      <c r="I16" s="31"/>
      <c r="J16" s="26"/>
      <c r="K16" s="26"/>
      <c r="L16" s="26"/>
      <c r="M16" s="26"/>
      <c r="N16" s="26"/>
      <c r="O16" s="26"/>
      <c r="P16" s="26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</row>
    <row r="17" customFormat="false" ht="15.75" hidden="false" customHeight="true" outlineLevel="0" collapsed="false">
      <c r="A17" s="34" t="str">
        <f aca="false">Лист1!B23</f>
        <v>Представитель технического надзора АО «ОЭК»</v>
      </c>
      <c r="B17" s="34"/>
      <c r="C17" s="34"/>
      <c r="D17" s="34"/>
      <c r="E17" s="34"/>
      <c r="F17" s="34"/>
      <c r="G17" s="34"/>
      <c r="H17" s="26" t="s">
        <v>111</v>
      </c>
      <c r="I17" s="39"/>
      <c r="J17" s="26"/>
      <c r="K17" s="26"/>
      <c r="L17" s="26"/>
      <c r="M17" s="26"/>
      <c r="N17" s="26"/>
      <c r="O17" s="26"/>
      <c r="P17" s="26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</row>
    <row r="18" customFormat="false" ht="15.75" hidden="false" customHeight="true" outlineLevel="0" collapsed="false">
      <c r="A18" s="26" t="s">
        <v>112</v>
      </c>
      <c r="B18" s="31"/>
      <c r="C18" s="31"/>
      <c r="D18" s="26"/>
      <c r="E18" s="26"/>
      <c r="F18" s="31"/>
      <c r="G18" s="31"/>
      <c r="H18" s="31"/>
      <c r="I18" s="31"/>
      <c r="J18" s="26"/>
      <c r="K18" s="26"/>
      <c r="L18" s="26"/>
      <c r="M18" s="26"/>
      <c r="N18" s="26"/>
      <c r="O18" s="26"/>
      <c r="P18" s="26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</row>
    <row r="19" customFormat="false" ht="15.75" hidden="false" customHeight="true" outlineLevel="0" collapsed="false">
      <c r="A19" s="27" t="s">
        <v>113</v>
      </c>
      <c r="B19" s="30"/>
      <c r="C19" s="26"/>
      <c r="D19" s="25"/>
      <c r="E19" s="25"/>
      <c r="F19" s="25"/>
      <c r="G19" s="25"/>
      <c r="H19" s="25"/>
      <c r="I19" s="25"/>
      <c r="J19" s="25"/>
      <c r="K19" s="25"/>
      <c r="L19" s="26"/>
      <c r="M19" s="26"/>
      <c r="N19" s="26"/>
      <c r="O19" s="26"/>
      <c r="P19" s="26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</row>
    <row r="20" customFormat="false" ht="15.75" hidden="false" customHeight="true" outlineLevel="0" collapsed="false">
      <c r="A20" s="26" t="s">
        <v>114</v>
      </c>
      <c r="B20" s="30"/>
      <c r="C20" s="26"/>
      <c r="D20" s="31"/>
      <c r="E20" s="31"/>
      <c r="F20" s="31"/>
      <c r="G20" s="27"/>
      <c r="H20" s="30"/>
      <c r="I20" s="30"/>
      <c r="J20" s="30"/>
      <c r="K20" s="30"/>
      <c r="L20" s="26"/>
      <c r="M20" s="26"/>
      <c r="N20" s="26"/>
      <c r="O20" s="26"/>
      <c r="P20" s="26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</row>
    <row r="21" customFormat="false" ht="15.75" hidden="false" customHeight="true" outlineLevel="0" collapsed="false">
      <c r="A21" s="26" t="s">
        <v>115</v>
      </c>
      <c r="B21" s="22"/>
      <c r="C21" s="26"/>
      <c r="D21" s="38"/>
      <c r="E21" s="38"/>
      <c r="F21" s="39"/>
      <c r="G21" s="38"/>
      <c r="H21" s="38"/>
      <c r="I21" s="39"/>
      <c r="J21" s="30"/>
      <c r="K21" s="30"/>
      <c r="L21" s="26"/>
      <c r="M21" s="26"/>
      <c r="N21" s="26"/>
      <c r="O21" s="26"/>
      <c r="P21" s="26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</row>
    <row r="22" customFormat="false" ht="15.75" hidden="false" customHeight="true" outlineLevel="0" collapsed="false">
      <c r="A22" s="36"/>
      <c r="B22" s="36"/>
      <c r="C22" s="26"/>
      <c r="D22" s="38"/>
      <c r="E22" s="38"/>
      <c r="F22" s="39"/>
      <c r="G22" s="38"/>
      <c r="H22" s="38"/>
      <c r="I22" s="39"/>
      <c r="J22" s="30"/>
      <c r="K22" s="30"/>
      <c r="L22" s="26"/>
      <c r="M22" s="26"/>
      <c r="N22" s="26"/>
      <c r="O22" s="26"/>
      <c r="P22" s="26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</row>
    <row r="23" customFormat="false" ht="15.75" hidden="false" customHeight="true" outlineLevel="0" collapsed="false">
      <c r="A23" s="27" t="s">
        <v>83</v>
      </c>
      <c r="B23" s="27"/>
      <c r="C23" s="26"/>
      <c r="D23" s="32" t="str">
        <f aca="false">Лист1!B16</f>
        <v>ООО «СПЕЦИНЖСТРОЙ»</v>
      </c>
      <c r="E23" s="32"/>
      <c r="F23" s="32"/>
      <c r="G23" s="38" t="s">
        <v>84</v>
      </c>
      <c r="H23" s="34" t="str">
        <f aca="false">Лист1!B7</f>
        <v>04-ОЭКСТ-КС-25-ТКР.1</v>
      </c>
      <c r="I23" s="34"/>
      <c r="J23" s="34"/>
      <c r="K23" s="30"/>
      <c r="L23" s="26"/>
      <c r="M23" s="26"/>
      <c r="N23" s="26"/>
      <c r="O23" s="26"/>
      <c r="P23" s="26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</row>
    <row r="24" customFormat="false" ht="15.75" hidden="false" customHeight="true" outlineLevel="0" collapsed="false">
      <c r="A24" s="36"/>
      <c r="B24" s="36"/>
      <c r="C24" s="26"/>
      <c r="D24" s="38"/>
      <c r="E24" s="13"/>
      <c r="F24" s="13"/>
      <c r="G24" s="38"/>
      <c r="H24" s="26"/>
      <c r="I24" s="26"/>
      <c r="J24" s="30"/>
      <c r="K24" s="30"/>
      <c r="L24" s="26"/>
      <c r="M24" s="26"/>
      <c r="N24" s="26"/>
      <c r="O24" s="26"/>
      <c r="P24" s="26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</row>
    <row r="25" customFormat="false" ht="32.25" hidden="false" customHeight="true" outlineLevel="0" collapsed="false">
      <c r="A25" s="27" t="s">
        <v>116</v>
      </c>
      <c r="B25" s="36"/>
      <c r="C25" s="26"/>
      <c r="D25" s="38"/>
      <c r="E25" s="57" t="str">
        <f aca="false">Лист1!B26</f>
        <v>Труба ЭЛЕКТРОПАЙП 225/170 - N 1250 F2 SDR 13,6</v>
      </c>
      <c r="F25" s="57"/>
      <c r="G25" s="57"/>
      <c r="H25" s="57"/>
      <c r="I25" s="57"/>
      <c r="J25" s="57"/>
      <c r="K25" s="30"/>
      <c r="L25" s="26"/>
      <c r="M25" s="26"/>
      <c r="N25" s="26"/>
      <c r="O25" s="26"/>
      <c r="P25" s="26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</row>
    <row r="26" customFormat="false" ht="15.75" hidden="false" customHeight="true" outlineLevel="0" collapsed="false">
      <c r="A26" s="36"/>
      <c r="B26" s="36"/>
      <c r="C26" s="26"/>
      <c r="D26" s="38"/>
      <c r="E26" s="13"/>
      <c r="F26" s="13"/>
      <c r="G26" s="38"/>
      <c r="H26" s="26"/>
      <c r="I26" s="26"/>
      <c r="J26" s="30"/>
      <c r="K26" s="30"/>
      <c r="L26" s="26"/>
      <c r="M26" s="26"/>
      <c r="N26" s="26"/>
      <c r="O26" s="26"/>
      <c r="P26" s="26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</row>
    <row r="27" customFormat="false" ht="15.75" hidden="false" customHeight="true" outlineLevel="0" collapsed="false">
      <c r="A27" s="27" t="s">
        <v>86</v>
      </c>
      <c r="B27" s="36"/>
      <c r="C27" s="26"/>
      <c r="D27" s="40" t="str">
        <f aca="false">Лист1!B8</f>
        <v>«10» декабря 2025 г.</v>
      </c>
      <c r="E27" s="40"/>
      <c r="F27" s="40"/>
      <c r="G27" s="38"/>
      <c r="H27" s="13"/>
      <c r="I27" s="13"/>
      <c r="J27" s="30"/>
      <c r="K27" s="30"/>
      <c r="L27" s="26"/>
      <c r="M27" s="26"/>
      <c r="N27" s="26"/>
      <c r="O27" s="26"/>
      <c r="P27" s="26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</row>
    <row r="28" customFormat="false" ht="15.75" hidden="false" customHeight="true" outlineLevel="0" collapsed="false">
      <c r="A28" s="36"/>
      <c r="B28" s="36"/>
      <c r="C28" s="26"/>
      <c r="D28" s="13"/>
      <c r="E28" s="30"/>
      <c r="F28" s="30"/>
      <c r="G28" s="30"/>
      <c r="H28" s="30"/>
      <c r="I28" s="30"/>
      <c r="J28" s="30"/>
      <c r="K28" s="30"/>
      <c r="L28" s="26"/>
      <c r="M28" s="26"/>
      <c r="N28" s="26"/>
      <c r="O28" s="26"/>
      <c r="P28" s="26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</row>
    <row r="29" customFormat="false" ht="15.75" hidden="false" customHeight="true" outlineLevel="0" collapsed="false">
      <c r="A29" s="27" t="s">
        <v>87</v>
      </c>
      <c r="B29" s="36"/>
      <c r="C29" s="26"/>
      <c r="D29" s="40" t="str">
        <f aca="false">Лист1!B9</f>
        <v>«22» декабря 2025 г.</v>
      </c>
      <c r="E29" s="40"/>
      <c r="F29" s="40"/>
      <c r="G29" s="30"/>
      <c r="H29" s="30"/>
      <c r="I29" s="30"/>
      <c r="J29" s="30"/>
      <c r="K29" s="30"/>
      <c r="L29" s="26"/>
      <c r="M29" s="26"/>
      <c r="N29" s="26"/>
      <c r="O29" s="26"/>
      <c r="P29" s="26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</row>
    <row r="30" customFormat="false" ht="15.75" hidden="false" customHeight="true" outlineLevel="0" collapsed="false">
      <c r="A30" s="36"/>
      <c r="B30" s="36"/>
      <c r="C30" s="26"/>
      <c r="D30" s="30"/>
      <c r="E30" s="30"/>
      <c r="F30" s="30"/>
      <c r="G30" s="30"/>
      <c r="H30" s="30"/>
      <c r="I30" s="30"/>
      <c r="J30" s="30"/>
      <c r="K30" s="30"/>
      <c r="L30" s="26"/>
      <c r="M30" s="26"/>
      <c r="N30" s="26"/>
      <c r="O30" s="26"/>
      <c r="P30" s="26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</row>
    <row r="31" customFormat="false" ht="15.75" hidden="false" customHeight="true" outlineLevel="0" collapsed="false">
      <c r="A31" s="23" t="s">
        <v>88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6"/>
      <c r="M31" s="26"/>
      <c r="N31" s="26"/>
      <c r="O31" s="26"/>
      <c r="P31" s="26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</row>
    <row r="32" customFormat="false" ht="15.75" hidden="false" customHeight="true" outlineLevel="0" collapsed="false">
      <c r="A32" s="27" t="s">
        <v>89</v>
      </c>
      <c r="B32" s="36"/>
      <c r="C32" s="26"/>
      <c r="D32" s="30"/>
      <c r="E32" s="30"/>
      <c r="F32" s="30"/>
      <c r="G32" s="30"/>
      <c r="H32" s="30"/>
      <c r="I32" s="30"/>
      <c r="J32" s="30"/>
      <c r="K32" s="30"/>
      <c r="L32" s="26"/>
      <c r="M32" s="26"/>
      <c r="N32" s="26"/>
      <c r="O32" s="26"/>
      <c r="P32" s="26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</row>
    <row r="33" customFormat="false" ht="15.75" hidden="false" customHeight="true" outlineLevel="0" collapsed="false">
      <c r="A33" s="27" t="s">
        <v>117</v>
      </c>
      <c r="B33" s="36"/>
      <c r="C33" s="26"/>
      <c r="D33" s="30"/>
      <c r="E33" s="31"/>
      <c r="F33" s="31"/>
      <c r="G33" s="31"/>
      <c r="H33" s="36"/>
      <c r="I33" s="30"/>
      <c r="J33" s="30"/>
      <c r="K33" s="30"/>
      <c r="L33" s="26"/>
      <c r="M33" s="26"/>
      <c r="N33" s="26"/>
      <c r="O33" s="26"/>
      <c r="P33" s="26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</row>
    <row r="34" customFormat="false" ht="15.75" hidden="false" customHeight="true" outlineLevel="0" collapsed="false">
      <c r="A34" s="36"/>
      <c r="B34" s="36"/>
      <c r="C34" s="26"/>
      <c r="D34" s="30"/>
      <c r="E34" s="39"/>
      <c r="F34" s="39"/>
      <c r="G34" s="39"/>
      <c r="H34" s="36"/>
      <c r="I34" s="30"/>
      <c r="J34" s="30"/>
      <c r="K34" s="30"/>
      <c r="L34" s="26"/>
      <c r="M34" s="26"/>
      <c r="N34" s="26"/>
      <c r="O34" s="26"/>
      <c r="P34" s="26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</row>
    <row r="35" customFormat="false" ht="15.75" hidden="false" customHeight="true" outlineLevel="0" collapsed="false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</row>
    <row r="36" customFormat="false" ht="15.75" hidden="false" customHeight="true" outlineLevel="0" collapsed="false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  <c r="IU36" s="26"/>
      <c r="IV36" s="26"/>
      <c r="IW36" s="26"/>
    </row>
    <row r="37" customFormat="false" ht="15.75" hidden="false" customHeight="true" outlineLevel="0" collapsed="false">
      <c r="A37" s="27" t="str">
        <f aca="false">Лист1!C20</f>
        <v>Мастер по ЭРС СВРЭС  Коробков Ю.Н.</v>
      </c>
      <c r="B37" s="26"/>
      <c r="C37" s="27"/>
      <c r="D37" s="27"/>
      <c r="E37" s="27"/>
      <c r="F37" s="27"/>
      <c r="G37" s="27"/>
      <c r="H37" s="27"/>
      <c r="I37" s="27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  <c r="IU37" s="26"/>
      <c r="IV37" s="26"/>
      <c r="IW37" s="26"/>
    </row>
    <row r="38" customFormat="false" ht="15.75" hidden="false" customHeight="true" outlineLevel="0" collapsed="false">
      <c r="A38" s="27"/>
      <c r="B38" s="26"/>
      <c r="C38" s="27"/>
      <c r="D38" s="27"/>
      <c r="E38" s="27"/>
      <c r="F38" s="27"/>
      <c r="G38" s="27"/>
      <c r="H38" s="27"/>
      <c r="I38" s="27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  <c r="IU38" s="26"/>
      <c r="IV38" s="26"/>
      <c r="IW38" s="26"/>
    </row>
    <row r="39" customFormat="false" ht="15.75" hidden="false" customHeight="true" outlineLevel="0" collapsed="false">
      <c r="A39" s="27" t="str">
        <f aca="false">Лист1!C21</f>
        <v>Начальник участка  Буряк А.М.</v>
      </c>
      <c r="B39" s="26"/>
      <c r="C39" s="27"/>
      <c r="D39" s="27"/>
      <c r="E39" s="27"/>
      <c r="F39" s="27"/>
      <c r="G39" s="27"/>
      <c r="H39" s="27"/>
      <c r="I39" s="27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  <c r="IU39" s="26"/>
      <c r="IV39" s="26"/>
      <c r="IW39" s="26"/>
    </row>
    <row r="40" customFormat="false" ht="15.75" hidden="false" customHeight="true" outlineLevel="0" collapsed="false">
      <c r="A40" s="27"/>
      <c r="B40" s="26"/>
      <c r="C40" s="27"/>
      <c r="D40" s="27"/>
      <c r="E40" s="27"/>
      <c r="F40" s="27"/>
      <c r="G40" s="27"/>
      <c r="H40" s="27"/>
      <c r="I40" s="27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</row>
    <row r="41" customFormat="false" ht="15.75" hidden="false" customHeight="true" outlineLevel="0" collapsed="false">
      <c r="A41" s="27"/>
      <c r="B41" s="26"/>
      <c r="C41" s="27"/>
      <c r="D41" s="27"/>
      <c r="E41" s="27"/>
      <c r="F41" s="27"/>
      <c r="G41" s="27"/>
      <c r="H41" s="27"/>
      <c r="I41" s="27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</row>
    <row r="42" customFormat="false" ht="15.75" hidden="false" customHeight="true" outlineLevel="0" collapsed="false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  <c r="IU42" s="26"/>
      <c r="IV42" s="26"/>
      <c r="IW42" s="26"/>
    </row>
    <row r="43" customFormat="false" ht="15.75" hidden="false" customHeight="true" outlineLevel="0" collapsed="false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</row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</sheetData>
  <mergeCells count="12">
    <mergeCell ref="C3:K3"/>
    <mergeCell ref="G4:J4"/>
    <mergeCell ref="A5:B5"/>
    <mergeCell ref="G5:K5"/>
    <mergeCell ref="A6:K6"/>
    <mergeCell ref="A7:K7"/>
    <mergeCell ref="E14:G14"/>
    <mergeCell ref="D23:F23"/>
    <mergeCell ref="E25:J25"/>
    <mergeCell ref="D27:F27"/>
    <mergeCell ref="D29:F29"/>
    <mergeCell ref="A31:K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13.7"/>
    <col collapsed="false" customWidth="true" hidden="false" outlineLevel="0" max="3" min="3" style="0" width="16.56"/>
    <col collapsed="false" customWidth="true" hidden="false" outlineLevel="0" max="4" min="4" style="0" width="10.85"/>
    <col collapsed="false" customWidth="true" hidden="false" outlineLevel="0" max="5" min="5" style="0" width="6.41"/>
    <col collapsed="false" customWidth="true" hidden="false" outlineLevel="0" max="6" min="6" style="0" width="8.56"/>
    <col collapsed="false" customWidth="true" hidden="false" outlineLevel="0" max="7" min="7" style="0" width="10.85"/>
    <col collapsed="false" customWidth="true" hidden="false" outlineLevel="0" max="8" min="8" style="0" width="9.28"/>
    <col collapsed="false" customWidth="true" hidden="false" outlineLevel="0" max="10" min="10" style="0" width="8.41"/>
    <col collapsed="false" customWidth="true" hidden="false" outlineLevel="0" max="11" min="11" style="0" width="12.99"/>
    <col collapsed="false" customWidth="true" hidden="false" outlineLevel="0" max="12" min="12" style="0" width="0.28"/>
    <col collapsed="false" customWidth="true" hidden="false" outlineLevel="0" max="13" min="13" style="0" width="9.14"/>
  </cols>
  <sheetData>
    <row r="1" customFormat="false" ht="13.5" hidden="false" customHeight="true" outlineLevel="0" collapsed="false">
      <c r="B1" s="12" t="s">
        <v>57</v>
      </c>
      <c r="C1" s="13" t="str">
        <f aca="false">Лист1!B14</f>
        <v>СВРЭС АО «ОЭК»</v>
      </c>
      <c r="D1" s="13"/>
      <c r="E1" s="13"/>
      <c r="F1" s="13"/>
      <c r="G1" s="14"/>
      <c r="H1" s="13"/>
      <c r="I1" s="13"/>
      <c r="J1" s="13"/>
      <c r="K1" s="13"/>
    </row>
    <row r="2" customFormat="false" ht="13.5" hidden="false" customHeight="true" outlineLevel="0" collapsed="false">
      <c r="B2" s="12" t="s">
        <v>75</v>
      </c>
      <c r="C2" s="13" t="str">
        <f aca="false">Лист1!B15</f>
        <v>АНО «ОЭК Стройтрест»</v>
      </c>
      <c r="D2" s="13"/>
      <c r="E2" s="13"/>
      <c r="F2" s="13"/>
      <c r="G2" s="14"/>
      <c r="H2" s="13"/>
      <c r="I2" s="13"/>
      <c r="J2" s="13"/>
      <c r="K2" s="13"/>
    </row>
    <row r="3" customFormat="false" ht="39" hidden="false" customHeight="true" outlineLevel="0" collapsed="false">
      <c r="A3" s="58"/>
      <c r="B3" s="15" t="s">
        <v>59</v>
      </c>
      <c r="C3" s="16" t="str">
        <f aca="false">Лист1!B4</f>
        <v>Резервирование электроснабжения РП 70046</v>
      </c>
      <c r="D3" s="16"/>
      <c r="E3" s="16"/>
      <c r="F3" s="16"/>
      <c r="G3" s="16"/>
      <c r="H3" s="16"/>
      <c r="I3" s="16"/>
      <c r="J3" s="16"/>
      <c r="K3" s="16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  <c r="ED3" s="58"/>
      <c r="EE3" s="58"/>
      <c r="EF3" s="58"/>
      <c r="EG3" s="58"/>
      <c r="EH3" s="58"/>
      <c r="EI3" s="58"/>
      <c r="EJ3" s="58"/>
      <c r="EK3" s="58"/>
      <c r="EL3" s="58"/>
      <c r="EM3" s="58"/>
      <c r="EN3" s="58"/>
      <c r="EO3" s="58"/>
      <c r="EP3" s="58"/>
      <c r="EQ3" s="58"/>
      <c r="ER3" s="58"/>
      <c r="ES3" s="58"/>
      <c r="ET3" s="58"/>
      <c r="EU3" s="58"/>
      <c r="EV3" s="58"/>
      <c r="EW3" s="58"/>
      <c r="EX3" s="58"/>
      <c r="EY3" s="58"/>
      <c r="EZ3" s="58"/>
      <c r="FA3" s="58"/>
      <c r="FB3" s="58"/>
      <c r="FC3" s="58"/>
      <c r="FD3" s="58"/>
      <c r="FE3" s="58"/>
      <c r="FF3" s="58"/>
      <c r="FG3" s="58"/>
      <c r="FH3" s="58"/>
      <c r="FI3" s="58"/>
      <c r="FJ3" s="58"/>
      <c r="FK3" s="58"/>
      <c r="FL3" s="58"/>
      <c r="FM3" s="58"/>
      <c r="FN3" s="58"/>
      <c r="FO3" s="58"/>
      <c r="FP3" s="58"/>
      <c r="FQ3" s="58"/>
      <c r="FR3" s="58"/>
      <c r="FS3" s="58"/>
      <c r="FT3" s="58"/>
      <c r="FU3" s="58"/>
      <c r="FV3" s="58"/>
      <c r="FW3" s="58"/>
      <c r="FX3" s="58"/>
      <c r="FY3" s="58"/>
      <c r="FZ3" s="58"/>
      <c r="GA3" s="58"/>
      <c r="GB3" s="58"/>
      <c r="GC3" s="58"/>
      <c r="GD3" s="58"/>
      <c r="GE3" s="58"/>
      <c r="GF3" s="58"/>
      <c r="GG3" s="58"/>
      <c r="GH3" s="58"/>
      <c r="GI3" s="58"/>
      <c r="GJ3" s="58"/>
      <c r="GK3" s="58"/>
      <c r="GL3" s="58"/>
      <c r="GM3" s="58"/>
      <c r="GN3" s="58"/>
      <c r="GO3" s="58"/>
      <c r="GP3" s="58"/>
      <c r="GQ3" s="58"/>
      <c r="GR3" s="58"/>
      <c r="GS3" s="58"/>
      <c r="GT3" s="58"/>
      <c r="GU3" s="58"/>
      <c r="GV3" s="58"/>
      <c r="GW3" s="58"/>
      <c r="GX3" s="58"/>
      <c r="GY3" s="58"/>
      <c r="GZ3" s="58"/>
      <c r="HA3" s="58"/>
      <c r="HB3" s="58"/>
      <c r="HC3" s="58"/>
      <c r="HD3" s="58"/>
      <c r="HE3" s="58"/>
      <c r="HF3" s="58"/>
      <c r="HG3" s="58"/>
      <c r="HH3" s="58"/>
      <c r="HI3" s="58"/>
      <c r="HJ3" s="58"/>
      <c r="HK3" s="58"/>
      <c r="HL3" s="58"/>
      <c r="HM3" s="58"/>
      <c r="HN3" s="58"/>
      <c r="HO3" s="58"/>
      <c r="HP3" s="58"/>
      <c r="HQ3" s="58"/>
      <c r="HR3" s="58"/>
      <c r="HS3" s="58"/>
      <c r="HT3" s="58"/>
      <c r="HU3" s="58"/>
      <c r="HV3" s="58"/>
      <c r="HW3" s="58"/>
      <c r="HX3" s="58"/>
      <c r="HY3" s="58"/>
      <c r="HZ3" s="58"/>
      <c r="IA3" s="58"/>
      <c r="IB3" s="58"/>
      <c r="IC3" s="58"/>
      <c r="ID3" s="58"/>
      <c r="IE3" s="58"/>
      <c r="IF3" s="58"/>
      <c r="IG3" s="58"/>
      <c r="IH3" s="58"/>
      <c r="II3" s="58"/>
      <c r="IJ3" s="58"/>
      <c r="IK3" s="58"/>
      <c r="IL3" s="58"/>
      <c r="IM3" s="58"/>
      <c r="IN3" s="58"/>
      <c r="IO3" s="58"/>
      <c r="IP3" s="58"/>
      <c r="IQ3" s="58"/>
      <c r="IR3" s="58"/>
      <c r="IS3" s="58"/>
      <c r="IT3" s="58"/>
      <c r="IU3" s="58"/>
      <c r="IV3" s="58"/>
      <c r="IW3" s="58"/>
    </row>
    <row r="4" customFormat="false" ht="13.5" hidden="false" customHeight="true" outlineLevel="0" collapsed="false">
      <c r="B4" s="15" t="s">
        <v>60</v>
      </c>
      <c r="C4" s="17" t="str">
        <f aca="false">Лист1!B11</f>
        <v>«22» декабря 2025 г.</v>
      </c>
      <c r="G4" s="18"/>
      <c r="H4" s="18"/>
      <c r="I4" s="18"/>
      <c r="J4" s="18"/>
      <c r="K4" s="19"/>
    </row>
    <row r="5" customFormat="false" ht="9.75" hidden="false" customHeight="true" outlineLevel="0" collapsed="false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customFormat="false" ht="15.75" hidden="false" customHeight="true" outlineLevel="0" collapsed="false">
      <c r="A6" s="23" t="s">
        <v>61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customFormat="false" ht="15.75" hidden="false" customHeight="true" outlineLevel="0" collapsed="false">
      <c r="A7" s="23" t="s">
        <v>118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11.25" hidden="false" customHeight="tru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customFormat="false" ht="15.75" hidden="false" customHeight="true" outlineLevel="0" collapsed="false">
      <c r="A9" s="22" t="s">
        <v>63</v>
      </c>
      <c r="B9" s="22"/>
      <c r="C9" s="22"/>
      <c r="D9" s="25"/>
      <c r="E9" s="25"/>
      <c r="F9" s="25"/>
      <c r="G9" s="25"/>
      <c r="H9" s="25"/>
      <c r="I9" s="25"/>
      <c r="J9" s="25"/>
      <c r="K9" s="25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customFormat="false" ht="15.75" hidden="false" customHeight="true" outlineLevel="0" collapsed="false">
      <c r="A10" s="26"/>
      <c r="B10" s="26"/>
      <c r="C10" s="26"/>
      <c r="D10" s="27"/>
      <c r="E10" s="27"/>
      <c r="F10" s="27"/>
      <c r="G10" s="27"/>
      <c r="H10" s="27"/>
      <c r="I10" s="27"/>
      <c r="J10" s="27"/>
      <c r="K10" s="27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customFormat="false" ht="18" hidden="false" customHeight="true" outlineLevel="0" collapsed="false">
      <c r="A11" s="26" t="str">
        <f aca="false">Лист1!B20</f>
        <v>Представитель АО «ОЭК»</v>
      </c>
      <c r="B11" s="29"/>
      <c r="D11" s="26"/>
      <c r="E11" s="26"/>
      <c r="F11" s="26"/>
      <c r="G11" s="26"/>
      <c r="H11" s="26"/>
      <c r="I11" s="26"/>
      <c r="J11" s="26"/>
      <c r="K11" s="26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15.75" hidden="false" customHeight="true" outlineLevel="0" collapsed="false">
      <c r="A12" s="27" t="str">
        <f aca="false">Лист1!B21</f>
        <v>Представитель подрядной организации АНО "ОЭК Стройтрест"</v>
      </c>
      <c r="B12" s="29"/>
      <c r="D12" s="27"/>
      <c r="E12" s="27"/>
      <c r="F12" s="27"/>
      <c r="G12" s="27"/>
      <c r="H12" s="27"/>
      <c r="I12" s="27"/>
      <c r="J12" s="27"/>
      <c r="K12" s="27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15.75" hidden="false" customHeight="true" outlineLevel="0" collapsed="false">
      <c r="A13" s="25"/>
      <c r="B13" s="25"/>
      <c r="C13" s="26"/>
      <c r="D13" s="25"/>
      <c r="E13" s="25"/>
      <c r="F13" s="25"/>
      <c r="G13" s="25"/>
      <c r="H13" s="25"/>
      <c r="I13" s="25"/>
      <c r="J13" s="25"/>
      <c r="K13" s="25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15.75" hidden="false" customHeight="true" outlineLevel="0" collapsed="false">
      <c r="A14" s="22" t="s">
        <v>77</v>
      </c>
      <c r="B14" s="30"/>
      <c r="C14" s="26"/>
      <c r="D14" s="30"/>
      <c r="E14" s="32" t="str">
        <f aca="false">Лист1!B10</f>
        <v>ООО «СПЕЦИНЖСТРОЙ»</v>
      </c>
      <c r="F14" s="32"/>
      <c r="G14" s="32"/>
      <c r="H14" s="31"/>
      <c r="I14" s="31"/>
      <c r="J14" s="31"/>
      <c r="K14" s="26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5.75" hidden="false" customHeight="true" outlineLevel="0" collapsed="false">
      <c r="A15" s="31" t="s">
        <v>78</v>
      </c>
      <c r="B15" s="31"/>
      <c r="C15" s="31"/>
      <c r="D15" s="26"/>
      <c r="E15" s="26"/>
      <c r="F15" s="31"/>
      <c r="G15" s="31"/>
      <c r="H15" s="31"/>
      <c r="I15" s="31"/>
      <c r="J15" s="26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5.75" hidden="false" customHeight="true" outlineLevel="0" collapsed="false">
      <c r="A16" s="27" t="s">
        <v>79</v>
      </c>
      <c r="B16" s="30"/>
      <c r="C16" s="26"/>
      <c r="D16" s="25"/>
      <c r="E16" s="25"/>
      <c r="F16" s="25"/>
      <c r="G16" s="25"/>
      <c r="H16" s="25"/>
      <c r="I16" s="25"/>
      <c r="J16" s="25"/>
      <c r="K16" s="25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5.75" hidden="false" customHeight="true" outlineLevel="0" collapsed="false">
      <c r="A17" s="27" t="s">
        <v>119</v>
      </c>
      <c r="B17" s="30"/>
      <c r="C17" s="26"/>
      <c r="D17" s="32" t="str">
        <f aca="false">Лист1!B6</f>
        <v>ЗП № 5-5</v>
      </c>
      <c r="E17" s="32"/>
      <c r="F17" s="32"/>
      <c r="G17" s="27" t="s">
        <v>93</v>
      </c>
      <c r="H17" s="30"/>
      <c r="I17" s="30"/>
      <c r="J17" s="30"/>
      <c r="K17" s="30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customFormat="false" ht="15.75" hidden="false" customHeight="true" outlineLevel="0" collapsed="false">
      <c r="A18" s="33" t="str">
        <f aca="false">Лист1!B5</f>
        <v>г. Москва, Огородный проезд, д. 11, стр. 5</v>
      </c>
      <c r="B18" s="59"/>
      <c r="C18" s="35"/>
      <c r="D18" s="42"/>
      <c r="E18" s="42"/>
      <c r="F18" s="32"/>
      <c r="G18" s="42"/>
      <c r="H18" s="38"/>
      <c r="I18" s="39"/>
      <c r="J18" s="30"/>
      <c r="K18" s="30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customFormat="false" ht="15.75" hidden="false" customHeight="true" outlineLevel="0" collapsed="false">
      <c r="A19" s="60"/>
      <c r="B19" s="36"/>
      <c r="C19" s="26"/>
      <c r="D19" s="38"/>
      <c r="E19" s="38"/>
      <c r="F19" s="39"/>
      <c r="G19" s="38"/>
      <c r="H19" s="38"/>
      <c r="I19" s="39"/>
      <c r="J19" s="30"/>
      <c r="K19" s="30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customFormat="false" ht="15.75" hidden="false" customHeight="true" outlineLevel="0" collapsed="false">
      <c r="A20" s="27" t="s">
        <v>83</v>
      </c>
      <c r="B20" s="27"/>
      <c r="C20" s="26"/>
      <c r="D20" s="32" t="str">
        <f aca="false">Лист1!B16</f>
        <v>ООО «СПЕЦИНЖСТРОЙ»</v>
      </c>
      <c r="E20" s="32"/>
      <c r="F20" s="32"/>
      <c r="G20" s="38" t="s">
        <v>84</v>
      </c>
      <c r="H20" s="34" t="str">
        <f aca="false">Лист1!B7</f>
        <v>04-ОЭКСТ-КС-25-ТКР.1</v>
      </c>
      <c r="I20" s="34"/>
      <c r="J20" s="34"/>
      <c r="K20" s="30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customFormat="false" ht="15.75" hidden="false" customHeight="true" outlineLevel="0" collapsed="false">
      <c r="A21" s="36"/>
      <c r="B21" s="36"/>
      <c r="C21" s="26"/>
      <c r="D21" s="38"/>
      <c r="E21" s="13"/>
      <c r="F21" s="13"/>
      <c r="G21" s="38"/>
      <c r="H21" s="26"/>
      <c r="I21" s="26"/>
      <c r="J21" s="30"/>
      <c r="K21" s="30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customFormat="false" ht="15.75" hidden="false" customHeight="true" outlineLevel="0" collapsed="false">
      <c r="A22" s="27" t="s">
        <v>120</v>
      </c>
      <c r="B22" s="36"/>
      <c r="C22" s="26"/>
      <c r="D22" s="40" t="str">
        <f aca="false">Лист1!B8</f>
        <v>«10» декабря 2025 г.</v>
      </c>
      <c r="E22" s="40"/>
      <c r="F22" s="40"/>
      <c r="G22" s="38"/>
      <c r="H22" s="13"/>
      <c r="I22" s="13"/>
      <c r="J22" s="30"/>
      <c r="K22" s="30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customFormat="false" ht="15.75" hidden="false" customHeight="true" outlineLevel="0" collapsed="false">
      <c r="A23" s="36"/>
      <c r="B23" s="36"/>
      <c r="C23" s="26"/>
      <c r="D23" s="13"/>
      <c r="E23" s="30"/>
      <c r="F23" s="30"/>
      <c r="G23" s="30"/>
      <c r="H23" s="30"/>
      <c r="I23" s="30"/>
      <c r="J23" s="30"/>
      <c r="K23" s="30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customFormat="false" ht="15.75" hidden="false" customHeight="true" outlineLevel="0" collapsed="false">
      <c r="A24" s="27" t="s">
        <v>121</v>
      </c>
      <c r="B24" s="36"/>
      <c r="C24" s="26"/>
      <c r="D24" s="40" t="str">
        <f aca="false">Лист1!B9</f>
        <v>«22» декабря 2025 г.</v>
      </c>
      <c r="E24" s="40"/>
      <c r="F24" s="40"/>
      <c r="G24" s="30"/>
      <c r="H24" s="30"/>
      <c r="I24" s="30"/>
      <c r="J24" s="30"/>
      <c r="K24" s="30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customFormat="false" ht="15.75" hidden="false" customHeight="true" outlineLevel="0" collapsed="false">
      <c r="A25" s="36"/>
      <c r="B25" s="36"/>
      <c r="C25" s="26"/>
      <c r="D25" s="30"/>
      <c r="E25" s="30"/>
      <c r="F25" s="30"/>
      <c r="G25" s="30"/>
      <c r="H25" s="30"/>
      <c r="I25" s="30"/>
      <c r="J25" s="30"/>
      <c r="K25" s="30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customFormat="false" ht="15.75" hidden="false" customHeight="true" outlineLevel="0" collapsed="false">
      <c r="A26" s="23" t="s">
        <v>88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customFormat="false" ht="15.75" hidden="false" customHeight="true" outlineLevel="0" collapsed="false">
      <c r="A27" s="27" t="s">
        <v>89</v>
      </c>
      <c r="B27" s="36"/>
      <c r="C27" s="26"/>
      <c r="D27" s="30"/>
      <c r="E27" s="30"/>
      <c r="F27" s="30"/>
      <c r="G27" s="30"/>
      <c r="H27" s="30"/>
      <c r="I27" s="30"/>
      <c r="J27" s="30"/>
      <c r="K27" s="30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customFormat="false" ht="15.75" hidden="false" customHeight="true" outlineLevel="0" collapsed="false">
      <c r="A28" s="27" t="s">
        <v>117</v>
      </c>
      <c r="B28" s="36"/>
      <c r="C28" s="26"/>
      <c r="D28" s="30"/>
      <c r="E28" s="31"/>
      <c r="F28" s="31"/>
      <c r="G28" s="31"/>
      <c r="H28" s="36"/>
      <c r="I28" s="30"/>
      <c r="J28" s="30"/>
      <c r="K28" s="30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customFormat="false" ht="15.75" hidden="false" customHeight="true" outlineLevel="0" collapsed="false">
      <c r="A29" s="36"/>
      <c r="B29" s="36"/>
      <c r="C29" s="26"/>
      <c r="D29" s="30"/>
      <c r="E29" s="39"/>
      <c r="F29" s="39"/>
      <c r="G29" s="39"/>
      <c r="H29" s="36"/>
      <c r="I29" s="30"/>
      <c r="J29" s="30"/>
      <c r="K29" s="30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customFormat="false" ht="15.75" hidden="false" customHeight="true" outlineLevel="0" collapsed="false">
      <c r="A30" s="36"/>
      <c r="B30" s="36"/>
      <c r="C30" s="26"/>
      <c r="D30" s="30"/>
      <c r="E30" s="30"/>
      <c r="F30" s="30"/>
      <c r="G30" s="30"/>
      <c r="H30" s="30"/>
      <c r="I30" s="30"/>
      <c r="J30" s="30"/>
      <c r="K30" s="30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>
      <c r="A33" s="27" t="str">
        <f aca="false">Лист1!C20</f>
        <v>Мастер по ЭРС СВРЭС  Коробков Ю.Н.</v>
      </c>
      <c r="C33" s="27"/>
      <c r="D33" s="61"/>
      <c r="E33" s="61"/>
      <c r="F33" s="61"/>
      <c r="G33" s="27"/>
      <c r="H33" s="27"/>
      <c r="I33" s="27"/>
    </row>
    <row r="34" customFormat="false" ht="15.75" hidden="false" customHeight="true" outlineLevel="0" collapsed="false">
      <c r="A34" s="27"/>
      <c r="C34" s="27"/>
      <c r="D34" s="27"/>
      <c r="E34" s="27"/>
      <c r="F34" s="27"/>
      <c r="G34" s="27"/>
      <c r="H34" s="27"/>
      <c r="I34" s="27"/>
    </row>
    <row r="35" customFormat="false" ht="15.75" hidden="false" customHeight="true" outlineLevel="0" collapsed="false">
      <c r="A35" s="27" t="str">
        <f aca="false">Лист1!C21</f>
        <v>Начальник участка  Буряк А.М.</v>
      </c>
      <c r="C35" s="27"/>
      <c r="D35" s="27"/>
      <c r="E35" s="62"/>
      <c r="F35" s="62"/>
      <c r="G35" s="62"/>
      <c r="H35" s="27"/>
      <c r="I35" s="27"/>
    </row>
    <row r="36" customFormat="false" ht="15.75" hidden="false" customHeight="true" outlineLevel="0" collapsed="false">
      <c r="A36" s="27"/>
      <c r="C36" s="27"/>
      <c r="D36" s="27"/>
      <c r="E36" s="27"/>
      <c r="F36" s="27"/>
      <c r="G36" s="27"/>
      <c r="H36" s="27"/>
      <c r="I36" s="27"/>
    </row>
    <row r="37" customFormat="false" ht="15.75" hidden="false" customHeight="true" outlineLevel="0" collapsed="false">
      <c r="A37" s="27"/>
      <c r="C37" s="27"/>
      <c r="D37" s="27"/>
      <c r="E37" s="27"/>
      <c r="F37" s="27"/>
      <c r="G37" s="27"/>
      <c r="H37" s="27"/>
      <c r="I37" s="27"/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</sheetData>
  <mergeCells count="12">
    <mergeCell ref="C3:K3"/>
    <mergeCell ref="G4:J4"/>
    <mergeCell ref="A5:B5"/>
    <mergeCell ref="G5:K5"/>
    <mergeCell ref="A6:K6"/>
    <mergeCell ref="A7:K7"/>
    <mergeCell ref="E14:G14"/>
    <mergeCell ref="D17:F17"/>
    <mergeCell ref="D20:F20"/>
    <mergeCell ref="D22:F22"/>
    <mergeCell ref="D24:F24"/>
    <mergeCell ref="A26:K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13.7"/>
    <col collapsed="false" customWidth="true" hidden="false" outlineLevel="0" max="3" min="3" style="0" width="16.56"/>
    <col collapsed="false" customWidth="true" hidden="false" outlineLevel="0" max="4" min="4" style="0" width="10.85"/>
    <col collapsed="false" customWidth="true" hidden="false" outlineLevel="0" max="5" min="5" style="0" width="6.41"/>
    <col collapsed="false" customWidth="true" hidden="false" outlineLevel="0" max="6" min="6" style="0" width="8.56"/>
    <col collapsed="false" customWidth="true" hidden="false" outlineLevel="0" max="7" min="7" style="0" width="10.85"/>
    <col collapsed="false" customWidth="true" hidden="false" outlineLevel="0" max="8" min="8" style="0" width="9.28"/>
    <col collapsed="false" customWidth="true" hidden="false" outlineLevel="0" max="10" min="10" style="0" width="8.41"/>
    <col collapsed="false" customWidth="true" hidden="false" outlineLevel="0" max="11" min="11" style="0" width="12.99"/>
    <col collapsed="false" customWidth="true" hidden="false" outlineLevel="0" max="12" min="12" style="0" width="0.28"/>
    <col collapsed="false" customWidth="true" hidden="false" outlineLevel="0" max="13" min="13" style="0" width="9.14"/>
  </cols>
  <sheetData>
    <row r="1" customFormat="false" ht="13.5" hidden="false" customHeight="true" outlineLevel="0" collapsed="false">
      <c r="B1" s="12" t="s">
        <v>57</v>
      </c>
      <c r="C1" s="13" t="str">
        <f aca="false">Лист1!B14</f>
        <v>СВРЭС АО «ОЭК»</v>
      </c>
      <c r="D1" s="13"/>
      <c r="E1" s="13"/>
      <c r="F1" s="13"/>
      <c r="G1" s="14"/>
      <c r="H1" s="13"/>
      <c r="I1" s="13"/>
      <c r="J1" s="13"/>
      <c r="K1" s="13"/>
    </row>
    <row r="2" customFormat="false" ht="13.5" hidden="false" customHeight="true" outlineLevel="0" collapsed="false">
      <c r="B2" s="12" t="s">
        <v>75</v>
      </c>
      <c r="C2" s="13" t="str">
        <f aca="false">Лист1!B15</f>
        <v>АНО «ОЭК Стройтрест»</v>
      </c>
      <c r="D2" s="13"/>
      <c r="E2" s="13"/>
      <c r="F2" s="13"/>
      <c r="G2" s="14"/>
      <c r="H2" s="13"/>
      <c r="I2" s="13"/>
      <c r="J2" s="13"/>
      <c r="K2" s="13"/>
    </row>
    <row r="3" customFormat="false" ht="48.75" hidden="false" customHeight="true" outlineLevel="0" collapsed="false">
      <c r="B3" s="15" t="s">
        <v>59</v>
      </c>
      <c r="C3" s="63" t="str">
        <f aca="false">Лист1!B4</f>
        <v>Резервирование электроснабжения РП 70046</v>
      </c>
      <c r="D3" s="63"/>
      <c r="E3" s="63"/>
      <c r="F3" s="63"/>
      <c r="G3" s="63"/>
      <c r="H3" s="63"/>
      <c r="I3" s="63"/>
      <c r="J3" s="63"/>
      <c r="K3" s="63"/>
    </row>
    <row r="4" customFormat="false" ht="13.5" hidden="false" customHeight="true" outlineLevel="0" collapsed="false">
      <c r="B4" s="15" t="s">
        <v>60</v>
      </c>
      <c r="C4" s="17" t="str">
        <f aca="false">Лист1!B11</f>
        <v>«22» декабря 2025 г.</v>
      </c>
      <c r="G4" s="18"/>
      <c r="H4" s="18"/>
      <c r="I4" s="18"/>
      <c r="J4" s="18"/>
      <c r="K4" s="19"/>
    </row>
    <row r="5" customFormat="false" ht="9.75" hidden="false" customHeight="true" outlineLevel="0" collapsed="false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customFormat="false" ht="15.75" hidden="false" customHeight="true" outlineLevel="0" collapsed="false">
      <c r="A6" s="23" t="s">
        <v>61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customFormat="false" ht="15.75" hidden="false" customHeight="true" outlineLevel="0" collapsed="false">
      <c r="A7" s="23" t="s">
        <v>122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11.25" hidden="false" customHeight="tru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customFormat="false" ht="15.75" hidden="false" customHeight="true" outlineLevel="0" collapsed="false">
      <c r="A9" s="22" t="s">
        <v>63</v>
      </c>
      <c r="B9" s="22"/>
      <c r="C9" s="22"/>
      <c r="D9" s="25"/>
      <c r="E9" s="25"/>
      <c r="F9" s="25"/>
      <c r="G9" s="25"/>
      <c r="H9" s="25"/>
      <c r="I9" s="25"/>
      <c r="J9" s="25"/>
      <c r="K9" s="25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customFormat="false" ht="15.75" hidden="false" customHeight="true" outlineLevel="0" collapsed="false">
      <c r="A10" s="26"/>
      <c r="B10" s="26"/>
      <c r="C10" s="26"/>
      <c r="D10" s="27"/>
      <c r="E10" s="27"/>
      <c r="F10" s="27"/>
      <c r="G10" s="27"/>
      <c r="H10" s="27"/>
      <c r="I10" s="27"/>
      <c r="J10" s="27"/>
      <c r="K10" s="27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customFormat="false" ht="18" hidden="false" customHeight="true" outlineLevel="0" collapsed="false">
      <c r="A11" s="26" t="str">
        <f aca="false">Лист1!B20</f>
        <v>Представитель АО «ОЭК»</v>
      </c>
      <c r="B11" s="29"/>
      <c r="D11" s="26"/>
      <c r="E11" s="26"/>
      <c r="F11" s="26"/>
      <c r="G11" s="26"/>
      <c r="H11" s="26"/>
      <c r="I11" s="26"/>
      <c r="J11" s="26"/>
      <c r="K11" s="26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15.75" hidden="false" customHeight="true" outlineLevel="0" collapsed="false">
      <c r="A12" s="27" t="str">
        <f aca="false">Лист1!B21</f>
        <v>Представитель подрядной организации АНО "ОЭК Стройтрест"</v>
      </c>
      <c r="B12" s="29"/>
      <c r="D12" s="27"/>
      <c r="E12" s="27"/>
      <c r="F12" s="27"/>
      <c r="G12" s="27"/>
      <c r="H12" s="27"/>
      <c r="I12" s="27"/>
      <c r="J12" s="27"/>
      <c r="K12" s="27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15.75" hidden="false" customHeight="true" outlineLevel="0" collapsed="false">
      <c r="A13" s="25"/>
      <c r="B13" s="25"/>
      <c r="C13" s="26"/>
      <c r="D13" s="25"/>
      <c r="E13" s="25"/>
      <c r="F13" s="25"/>
      <c r="G13" s="25"/>
      <c r="H13" s="25"/>
      <c r="I13" s="25"/>
      <c r="J13" s="25"/>
      <c r="K13" s="25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15.75" hidden="false" customHeight="true" outlineLevel="0" collapsed="false">
      <c r="A14" s="22" t="s">
        <v>77</v>
      </c>
      <c r="B14" s="30"/>
      <c r="C14" s="26"/>
      <c r="D14" s="30"/>
      <c r="E14" s="32" t="str">
        <f aca="false">Лист1!B10</f>
        <v>ООО «СПЕЦИНЖСТРОЙ»</v>
      </c>
      <c r="F14" s="32"/>
      <c r="G14" s="32"/>
      <c r="H14" s="31"/>
      <c r="I14" s="31"/>
      <c r="J14" s="31"/>
      <c r="K14" s="26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5.75" hidden="false" customHeight="true" outlineLevel="0" collapsed="false">
      <c r="A15" s="22" t="s">
        <v>78</v>
      </c>
      <c r="B15" s="31"/>
      <c r="C15" s="31"/>
      <c r="D15" s="26"/>
      <c r="E15" s="26"/>
      <c r="F15" s="31"/>
      <c r="G15" s="31"/>
      <c r="H15" s="31"/>
      <c r="I15" s="31"/>
      <c r="J15" s="26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5.75" hidden="false" customHeight="true" outlineLevel="0" collapsed="false">
      <c r="A16" s="27" t="s">
        <v>79</v>
      </c>
      <c r="B16" s="30"/>
      <c r="C16" s="26"/>
      <c r="D16" s="25"/>
      <c r="E16" s="25"/>
      <c r="F16" s="25"/>
      <c r="G16" s="25"/>
      <c r="H16" s="25"/>
      <c r="I16" s="25"/>
      <c r="J16" s="25"/>
      <c r="K16" s="25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5.75" hidden="false" customHeight="true" outlineLevel="0" collapsed="false">
      <c r="A17" s="27" t="s">
        <v>123</v>
      </c>
      <c r="B17" s="30"/>
      <c r="C17" s="26"/>
      <c r="D17" s="32" t="str">
        <f aca="false">Лист1!B6</f>
        <v>ЗП № 5-5</v>
      </c>
      <c r="E17" s="32"/>
      <c r="F17" s="32"/>
      <c r="G17" s="32"/>
      <c r="H17" s="27" t="s">
        <v>81</v>
      </c>
      <c r="J17" s="30"/>
      <c r="K17" s="30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customFormat="false" ht="15.75" hidden="false" customHeight="true" outlineLevel="0" collapsed="false">
      <c r="A18" s="27" t="s">
        <v>82</v>
      </c>
      <c r="B18" s="30"/>
      <c r="C18" s="33" t="str">
        <f aca="false">Лист1!B5</f>
        <v>г. Москва, Огородный проезд, д. 11, стр. 5</v>
      </c>
      <c r="D18" s="33"/>
      <c r="E18" s="33"/>
      <c r="F18" s="33"/>
      <c r="G18" s="33"/>
      <c r="H18" s="33"/>
      <c r="I18" s="27"/>
      <c r="J18" s="30"/>
      <c r="K18" s="30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customFormat="false" ht="15.75" hidden="false" customHeight="true" outlineLevel="0" collapsed="false">
      <c r="A19" s="36"/>
      <c r="B19" s="36"/>
      <c r="C19" s="26"/>
      <c r="D19" s="38"/>
      <c r="E19" s="38"/>
      <c r="F19" s="39"/>
      <c r="G19" s="38"/>
      <c r="H19" s="38"/>
      <c r="I19" s="39"/>
      <c r="J19" s="30"/>
      <c r="K19" s="30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customFormat="false" ht="15.75" hidden="false" customHeight="true" outlineLevel="0" collapsed="false">
      <c r="A20" s="27" t="s">
        <v>83</v>
      </c>
      <c r="B20" s="27"/>
      <c r="C20" s="26"/>
      <c r="D20" s="32" t="str">
        <f aca="false">Лист1!B16</f>
        <v>ООО «СПЕЦИНЖСТРОЙ»</v>
      </c>
      <c r="E20" s="32"/>
      <c r="F20" s="32"/>
      <c r="G20" s="38" t="s">
        <v>84</v>
      </c>
      <c r="H20" s="64" t="str">
        <f aca="false">Лист1!B7</f>
        <v>04-ОЭКСТ-КС-25-ТКР.1</v>
      </c>
      <c r="I20" s="64"/>
      <c r="J20" s="64"/>
      <c r="K20" s="30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customFormat="false" ht="15.75" hidden="false" customHeight="true" outlineLevel="0" collapsed="false">
      <c r="A21" s="27"/>
      <c r="B21" s="27"/>
      <c r="C21" s="26"/>
      <c r="D21" s="39"/>
      <c r="E21" s="39"/>
      <c r="F21" s="39"/>
      <c r="G21" s="38"/>
      <c r="H21" s="39"/>
      <c r="I21" s="39"/>
      <c r="J21" s="39"/>
      <c r="K21" s="30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customFormat="false" ht="33" hidden="false" customHeight="true" outlineLevel="0" collapsed="false">
      <c r="A22" s="27" t="s">
        <v>124</v>
      </c>
      <c r="B22" s="27"/>
      <c r="C22" s="26"/>
      <c r="D22" s="39"/>
      <c r="E22" s="64" t="str">
        <f aca="false">Лист1!B26</f>
        <v>Труба ЭЛЕКТРОПАЙП 225/170 - N 1250 F2 SDR 13,6</v>
      </c>
      <c r="F22" s="64"/>
      <c r="G22" s="64"/>
      <c r="H22" s="64"/>
      <c r="I22" s="64"/>
      <c r="J22" s="64"/>
      <c r="K22" s="30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customFormat="false" ht="15.75" hidden="false" customHeight="true" outlineLevel="0" collapsed="false">
      <c r="A23" s="27"/>
      <c r="B23" s="27"/>
      <c r="C23" s="26"/>
      <c r="D23" s="39"/>
      <c r="E23" s="39"/>
      <c r="F23" s="39"/>
      <c r="G23" s="38"/>
      <c r="H23" s="39"/>
      <c r="I23" s="39"/>
      <c r="J23" s="39"/>
      <c r="K23" s="30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customFormat="false" ht="15.75" hidden="false" customHeight="true" outlineLevel="0" collapsed="false">
      <c r="A24" s="27" t="s">
        <v>125</v>
      </c>
      <c r="B24" s="27"/>
      <c r="C24" s="26"/>
      <c r="D24" s="39"/>
      <c r="E24" s="33" t="str">
        <f aca="false">Лист1!B27</f>
        <v>d=225</v>
      </c>
      <c r="F24" s="33"/>
      <c r="G24" s="33"/>
      <c r="H24" s="33"/>
      <c r="I24" s="33"/>
      <c r="J24" s="33"/>
      <c r="K24" s="30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customFormat="false" ht="15.75" hidden="false" customHeight="true" outlineLevel="0" collapsed="false">
      <c r="A25" s="36"/>
      <c r="B25" s="36"/>
      <c r="C25" s="26"/>
      <c r="D25" s="38"/>
      <c r="E25" s="13"/>
      <c r="F25" s="13"/>
      <c r="G25" s="38"/>
      <c r="H25" s="26"/>
      <c r="I25" s="26"/>
      <c r="J25" s="30"/>
      <c r="K25" s="30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customFormat="false" ht="15.75" hidden="false" customHeight="true" outlineLevel="0" collapsed="false">
      <c r="A26" s="27" t="s">
        <v>126</v>
      </c>
      <c r="B26" s="36"/>
      <c r="C26" s="26"/>
      <c r="D26" s="40" t="str">
        <f aca="false">Лист1!B8</f>
        <v>«10» декабря 2025 г.</v>
      </c>
      <c r="E26" s="40"/>
      <c r="F26" s="40"/>
      <c r="G26" s="38"/>
      <c r="H26" s="13"/>
      <c r="I26" s="13"/>
      <c r="J26" s="30"/>
      <c r="K26" s="30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customFormat="false" ht="15.75" hidden="false" customHeight="true" outlineLevel="0" collapsed="false">
      <c r="A27" s="36"/>
      <c r="B27" s="36"/>
      <c r="C27" s="26"/>
      <c r="D27" s="13"/>
      <c r="E27" s="30"/>
      <c r="F27" s="30"/>
      <c r="G27" s="30"/>
      <c r="H27" s="30"/>
      <c r="I27" s="30"/>
      <c r="J27" s="30"/>
      <c r="K27" s="30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customFormat="false" ht="15.75" hidden="false" customHeight="true" outlineLevel="0" collapsed="false">
      <c r="A28" s="27" t="s">
        <v>127</v>
      </c>
      <c r="B28" s="36"/>
      <c r="C28" s="26"/>
      <c r="D28" s="40" t="str">
        <f aca="false">Лист1!B9</f>
        <v>«22» декабря 2025 г.</v>
      </c>
      <c r="E28" s="40"/>
      <c r="F28" s="40"/>
      <c r="G28" s="30"/>
      <c r="H28" s="30"/>
      <c r="I28" s="30"/>
      <c r="J28" s="30"/>
      <c r="K28" s="30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customFormat="false" ht="15.75" hidden="false" customHeight="true" outlineLevel="0" collapsed="false">
      <c r="A29" s="36"/>
      <c r="B29" s="36"/>
      <c r="C29" s="26"/>
      <c r="D29" s="30"/>
      <c r="E29" s="30"/>
      <c r="F29" s="30"/>
      <c r="G29" s="30"/>
      <c r="H29" s="30"/>
      <c r="I29" s="30"/>
      <c r="J29" s="30"/>
      <c r="K29" s="30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customFormat="false" ht="15.75" hidden="false" customHeight="true" outlineLevel="0" collapsed="false">
      <c r="A30" s="23" t="s">
        <v>88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customFormat="false" ht="15.75" hidden="false" customHeight="true" outlineLevel="0" collapsed="false">
      <c r="A31" s="27" t="s">
        <v>89</v>
      </c>
      <c r="B31" s="36"/>
      <c r="C31" s="26"/>
      <c r="D31" s="30"/>
      <c r="E31" s="30"/>
      <c r="F31" s="30"/>
      <c r="G31" s="30"/>
      <c r="H31" s="30"/>
      <c r="I31" s="30"/>
      <c r="J31" s="30"/>
      <c r="K31" s="30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customFormat="false" ht="15.75" hidden="false" customHeight="true" outlineLevel="0" collapsed="false">
      <c r="A32" s="27" t="s">
        <v>117</v>
      </c>
      <c r="B32" s="36"/>
      <c r="C32" s="26"/>
      <c r="D32" s="30"/>
      <c r="E32" s="31"/>
      <c r="F32" s="31"/>
      <c r="G32" s="31"/>
      <c r="H32" s="36"/>
      <c r="I32" s="30"/>
      <c r="J32" s="30"/>
      <c r="K32" s="30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customFormat="false" ht="15.75" hidden="false" customHeight="true" outlineLevel="0" collapsed="false">
      <c r="A33" s="36"/>
      <c r="B33" s="36"/>
      <c r="C33" s="26"/>
      <c r="D33" s="30"/>
      <c r="E33" s="30"/>
      <c r="F33" s="30"/>
      <c r="G33" s="30"/>
      <c r="H33" s="30"/>
      <c r="I33" s="30"/>
      <c r="J33" s="30"/>
      <c r="K33" s="30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>
      <c r="A36" s="27" t="str">
        <f aca="false">Лист1!C20</f>
        <v>Мастер по ЭРС СВРЭС  Коробков Ю.Н.</v>
      </c>
      <c r="C36" s="27"/>
      <c r="D36" s="27"/>
      <c r="E36" s="27"/>
      <c r="F36" s="27"/>
      <c r="G36" s="27"/>
      <c r="H36" s="27"/>
      <c r="I36" s="27"/>
    </row>
    <row r="37" customFormat="false" ht="15.75" hidden="false" customHeight="true" outlineLevel="0" collapsed="false">
      <c r="A37" s="27"/>
      <c r="C37" s="27"/>
      <c r="D37" s="27"/>
      <c r="E37" s="27"/>
      <c r="F37" s="27"/>
      <c r="G37" s="27"/>
      <c r="H37" s="27"/>
      <c r="I37" s="27"/>
    </row>
    <row r="38" customFormat="false" ht="15.75" hidden="false" customHeight="true" outlineLevel="0" collapsed="false">
      <c r="A38" s="27" t="str">
        <f aca="false">Лист1!C21</f>
        <v>Начальник участка  Буряк А.М.</v>
      </c>
      <c r="C38" s="27"/>
      <c r="D38" s="27"/>
      <c r="E38" s="27"/>
      <c r="F38" s="27"/>
      <c r="G38" s="27"/>
      <c r="H38" s="27"/>
      <c r="I38" s="27"/>
    </row>
    <row r="39" customFormat="false" ht="15.75" hidden="false" customHeight="true" outlineLevel="0" collapsed="false">
      <c r="A39" s="27"/>
      <c r="C39" s="27"/>
      <c r="D39" s="27"/>
      <c r="E39" s="27"/>
      <c r="F39" s="27"/>
      <c r="G39" s="27"/>
      <c r="H39" s="27"/>
      <c r="I39" s="27"/>
    </row>
    <row r="40" customFormat="false" ht="15.75" hidden="false" customHeight="true" outlineLevel="0" collapsed="false">
      <c r="A40" s="27"/>
      <c r="C40" s="27"/>
      <c r="D40" s="27"/>
      <c r="E40" s="27"/>
      <c r="F40" s="27"/>
      <c r="G40" s="27"/>
      <c r="H40" s="27"/>
      <c r="I40" s="27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</sheetData>
  <mergeCells count="16">
    <mergeCell ref="C3:K3"/>
    <mergeCell ref="G4:J4"/>
    <mergeCell ref="A5:B5"/>
    <mergeCell ref="G5:K5"/>
    <mergeCell ref="A6:K6"/>
    <mergeCell ref="A7:K7"/>
    <mergeCell ref="E14:G14"/>
    <mergeCell ref="D17:G17"/>
    <mergeCell ref="C18:H18"/>
    <mergeCell ref="D20:F20"/>
    <mergeCell ref="H20:J20"/>
    <mergeCell ref="E22:J22"/>
    <mergeCell ref="E24:J24"/>
    <mergeCell ref="D26:F26"/>
    <mergeCell ref="D28:F28"/>
    <mergeCell ref="A30:K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9.7"/>
    <col collapsed="false" customWidth="true" hidden="false" outlineLevel="0" max="10" min="10" style="0" width="12.28"/>
    <col collapsed="false" customWidth="true" hidden="false" outlineLevel="0" max="11" min="11" style="0" width="21.12"/>
  </cols>
  <sheetData>
    <row r="1" customFormat="false" ht="15.75" hidden="false" customHeight="true" outlineLevel="0" collapsed="false">
      <c r="A1" s="65" t="s">
        <v>61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customFormat="false" ht="15.75" hidden="false" customHeight="true" outlineLevel="0" collapsed="false">
      <c r="A2" s="65" t="s">
        <v>128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customFormat="false" ht="15.75" hidden="false" customHeight="true" outlineLevel="0" collapsed="false"/>
    <row r="4" customFormat="false" ht="15.75" hidden="false" customHeight="true" outlineLevel="0" collapsed="false">
      <c r="A4" s="53" t="s">
        <v>129</v>
      </c>
      <c r="B4" s="53"/>
      <c r="C4" s="66"/>
      <c r="D4" s="66"/>
      <c r="E4" s="66"/>
      <c r="F4" s="66"/>
      <c r="G4" s="54" t="str">
        <f aca="false">Лист1!B11</f>
        <v>«22» декабря 2025 г.</v>
      </c>
      <c r="H4" s="54"/>
      <c r="I4" s="54"/>
      <c r="J4" s="54"/>
      <c r="K4" s="54"/>
    </row>
    <row r="5" customFormat="false" ht="15.75" hidden="false" customHeight="true" outlineLevel="0" collapsed="false">
      <c r="A5" s="66"/>
      <c r="B5" s="66"/>
      <c r="C5" s="66"/>
      <c r="D5" s="66"/>
      <c r="E5" s="66"/>
      <c r="F5" s="66"/>
      <c r="G5" s="66"/>
      <c r="H5" s="66"/>
      <c r="I5" s="66"/>
    </row>
    <row r="6" customFormat="false" ht="15.75" hidden="false" customHeight="true" outlineLevel="0" collapsed="false">
      <c r="A6" s="67" t="s">
        <v>130</v>
      </c>
      <c r="B6" s="67"/>
      <c r="C6" s="67"/>
      <c r="D6" s="67"/>
      <c r="E6" s="67"/>
      <c r="F6" s="68" t="str">
        <f aca="false">Лист1!B3</f>
        <v>«Выполнение работ по прокладке КЛ методом горизонтального направленного бурения по объекту: «Резервирование электроснабжения РП 70046».</v>
      </c>
      <c r="G6" s="68"/>
      <c r="H6" s="68"/>
      <c r="I6" s="68"/>
      <c r="J6" s="68"/>
      <c r="K6" s="68"/>
      <c r="P6" s="69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customFormat="false" ht="15.75" hidden="false" customHeight="true" outlineLevel="0" collapsed="false">
      <c r="A7" s="71" t="s">
        <v>131</v>
      </c>
      <c r="B7" s="71"/>
      <c r="C7" s="71"/>
      <c r="D7" s="71"/>
      <c r="E7" s="71"/>
      <c r="F7" s="71"/>
      <c r="G7" s="71"/>
      <c r="H7" s="71"/>
      <c r="I7" s="71"/>
      <c r="J7" s="71"/>
      <c r="K7" s="71"/>
    </row>
    <row r="8" customFormat="false" ht="15.75" hidden="false" customHeight="true" outlineLevel="0" collapsed="false"/>
    <row r="9" customFormat="false" ht="40.5" hidden="false" customHeight="true" outlineLevel="0" collapsed="false">
      <c r="A9" s="72" t="str">
        <f aca="false">Лист1!B4</f>
        <v>Резервирование электроснабжения РП 70046</v>
      </c>
      <c r="B9" s="72"/>
      <c r="C9" s="72"/>
      <c r="D9" s="72"/>
      <c r="E9" s="72"/>
      <c r="F9" s="72"/>
      <c r="G9" s="72"/>
      <c r="H9" s="72"/>
      <c r="I9" s="72"/>
      <c r="J9" s="72"/>
      <c r="K9" s="72"/>
    </row>
    <row r="10" customFormat="false" ht="12" hidden="false" customHeight="true" outlineLevel="0" collapsed="false">
      <c r="A10" s="73" t="s">
        <v>132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</row>
    <row r="11" customFormat="false" ht="15.75" hidden="false" customHeight="true" outlineLevel="0" collapsed="false">
      <c r="A11" s="74" t="str">
        <f aca="false">Лист1!B5</f>
        <v>г. Москва, Огородный проезд, д. 11, стр. 5</v>
      </c>
      <c r="B11" s="74"/>
      <c r="C11" s="74"/>
      <c r="D11" s="74"/>
      <c r="E11" s="74"/>
      <c r="F11" s="74"/>
      <c r="G11" s="74"/>
      <c r="H11" s="74"/>
      <c r="I11" s="74"/>
      <c r="J11" s="75"/>
      <c r="K11" s="75"/>
    </row>
    <row r="12" customFormat="false" ht="15.75" hidden="false" customHeight="true" outlineLevel="0" collapsed="false">
      <c r="A12" s="71" t="s">
        <v>133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</row>
    <row r="13" customFormat="false" ht="15.75" hidden="false" customHeight="true" outlineLevel="0" collapsed="false">
      <c r="A13" s="53" t="s">
        <v>134</v>
      </c>
      <c r="B13" s="53"/>
      <c r="C13" s="76" t="str">
        <f aca="false">Лист1!B23</f>
        <v>Представитель технического надзора АО «ОЭК»</v>
      </c>
      <c r="D13" s="77"/>
      <c r="E13" s="77"/>
      <c r="F13" s="77"/>
      <c r="G13" s="77"/>
      <c r="H13" s="77"/>
      <c r="I13" s="77"/>
      <c r="J13" s="77"/>
      <c r="K13" s="77"/>
    </row>
    <row r="14" customFormat="false" ht="15.75" hidden="false" customHeight="true" outlineLevel="0" collapsed="false">
      <c r="A14" s="78" t="s">
        <v>135</v>
      </c>
      <c r="B14" s="78"/>
      <c r="C14" s="76" t="str">
        <f aca="false">Лист1!B20</f>
        <v>Представитель АО «ОЭК»</v>
      </c>
      <c r="D14" s="79"/>
      <c r="E14" s="79"/>
      <c r="F14" s="79"/>
      <c r="G14" s="79"/>
      <c r="H14" s="79"/>
      <c r="I14" s="79"/>
      <c r="J14" s="80"/>
      <c r="K14" s="80"/>
    </row>
    <row r="15" customFormat="false" ht="15.75" hidden="false" customHeight="true" outlineLevel="0" collapsed="false">
      <c r="A15" s="81" t="s">
        <v>136</v>
      </c>
      <c r="B15" s="81"/>
      <c r="C15" s="76" t="str">
        <f aca="false">Лист1!B21</f>
        <v>Представитель подрядной организации АНО "ОЭК Стройтрест"</v>
      </c>
      <c r="D15" s="76"/>
      <c r="E15" s="76"/>
      <c r="F15" s="76"/>
      <c r="G15" s="76"/>
      <c r="H15" s="76"/>
      <c r="I15" s="76"/>
      <c r="J15" s="76"/>
      <c r="K15" s="76"/>
    </row>
    <row r="16" customFormat="false" ht="15.75" hidden="false" customHeight="true" outlineLevel="0" collapsed="false">
      <c r="C16" s="77" t="str">
        <f aca="false">Лист1!B22</f>
        <v>Представитель субподрядной организации ООО «СПЕЦИНЖСТРОЙ»</v>
      </c>
      <c r="D16" s="77"/>
      <c r="E16" s="77"/>
      <c r="F16" s="77"/>
      <c r="G16" s="77"/>
      <c r="H16" s="77"/>
      <c r="I16" s="77"/>
      <c r="J16" s="77"/>
      <c r="K16" s="77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customFormat="false" ht="15.75" hidden="false" customHeight="true" outlineLevel="0" collapsed="false">
      <c r="A17" s="66"/>
      <c r="B17" s="66"/>
      <c r="C17" s="53"/>
      <c r="D17" s="53"/>
      <c r="E17" s="53"/>
      <c r="F17" s="53"/>
      <c r="G17" s="53"/>
      <c r="H17" s="53"/>
      <c r="I17" s="53"/>
      <c r="J17" s="53"/>
      <c r="K17" s="53"/>
    </row>
    <row r="18" customFormat="false" ht="15.75" hidden="false" customHeight="true" outlineLevel="0" collapsed="false">
      <c r="A18" s="53" t="s">
        <v>77</v>
      </c>
      <c r="B18" s="53"/>
      <c r="C18" s="53"/>
      <c r="D18" s="53"/>
      <c r="E18" s="82" t="str">
        <f aca="false">Лист1!B10</f>
        <v>ООО «СПЕЦИНЖСТРОЙ»</v>
      </c>
      <c r="F18" s="82"/>
      <c r="G18" s="82"/>
      <c r="H18" s="82"/>
      <c r="I18" s="82"/>
      <c r="J18" s="82"/>
      <c r="K18" s="82"/>
      <c r="P18" s="83"/>
      <c r="Q18" s="83"/>
      <c r="R18" s="83"/>
      <c r="S18" s="83"/>
      <c r="T18" s="83"/>
      <c r="U18" s="83"/>
      <c r="V18" s="83"/>
      <c r="W18" s="83"/>
      <c r="X18" s="83"/>
      <c r="Y18" s="83"/>
    </row>
    <row r="19" customFormat="false" ht="15.75" hidden="false" customHeight="true" outlineLevel="0" collapsed="false">
      <c r="A19" s="53" t="s">
        <v>78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</row>
    <row r="20" customFormat="false" ht="15.75" hidden="false" customHeight="true" outlineLevel="0" collapsed="false">
      <c r="B20" s="53" t="s">
        <v>137</v>
      </c>
      <c r="C20" s="53"/>
      <c r="D20" s="53"/>
      <c r="E20" s="53"/>
      <c r="F20" s="53"/>
      <c r="G20" s="53"/>
      <c r="H20" s="53"/>
      <c r="I20" s="53"/>
      <c r="J20" s="53"/>
      <c r="K20" s="53"/>
      <c r="P20" s="83"/>
      <c r="Q20" s="83"/>
      <c r="R20" s="83"/>
      <c r="S20" s="83"/>
      <c r="T20" s="83"/>
      <c r="U20" s="83"/>
      <c r="V20" s="83"/>
      <c r="W20" s="83"/>
      <c r="X20" s="83"/>
      <c r="Y20" s="83"/>
    </row>
    <row r="21" customFormat="false" ht="15.75" hidden="false" customHeight="true" outlineLevel="0" collapsed="false"/>
    <row r="22" customFormat="false" ht="15.75" hidden="false" customHeight="true" outlineLevel="0" collapsed="false">
      <c r="A22" s="67" t="s">
        <v>138</v>
      </c>
      <c r="B22" s="67"/>
      <c r="C22" s="67"/>
      <c r="D22" s="67"/>
      <c r="E22" s="67"/>
      <c r="F22" s="68" t="str">
        <f aca="false">Лист1!B6</f>
        <v>ЗП № 5-5</v>
      </c>
      <c r="G22" s="68"/>
      <c r="H22" s="68"/>
      <c r="I22" s="68"/>
      <c r="J22" s="68"/>
      <c r="K22" s="68"/>
    </row>
    <row r="23" customFormat="false" ht="15.75" hidden="false" customHeight="true" outlineLevel="0" collapsed="false">
      <c r="A23" s="71" t="s">
        <v>139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</row>
    <row r="24" customFormat="false" ht="15.75" hidden="false" customHeight="true" outlineLevel="0" collapsed="false">
      <c r="B24" s="53" t="s">
        <v>83</v>
      </c>
      <c r="C24" s="53"/>
      <c r="D24" s="53"/>
      <c r="E24" s="53"/>
      <c r="F24" s="82" t="str">
        <f aca="false">Лист1!B7</f>
        <v>04-ОЭКСТ-КС-25-ТКР.1</v>
      </c>
      <c r="G24" s="82"/>
      <c r="H24" s="82"/>
      <c r="I24" s="82"/>
      <c r="J24" s="82"/>
      <c r="K24" s="82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 customFormat="false" ht="15.75" hidden="false" customHeight="true" outlineLevel="0" collapsed="false">
      <c r="B25" s="84" t="s">
        <v>140</v>
      </c>
      <c r="C25" s="69"/>
      <c r="D25" s="69"/>
      <c r="E25" s="69"/>
      <c r="F25" s="69"/>
      <c r="G25" s="69"/>
      <c r="H25" s="69"/>
      <c r="I25" s="69"/>
      <c r="J25" s="69"/>
      <c r="K25" s="69"/>
    </row>
    <row r="26" customFormat="false" ht="15.75" hidden="false" customHeight="true" outlineLevel="0" collapsed="false">
      <c r="A26" s="82" t="str">
        <f aca="false">Лист1!B16</f>
        <v>ООО «СПЕЦИНЖСТРОЙ»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</row>
    <row r="27" customFormat="false" ht="15.75" hidden="false" customHeight="true" outlineLevel="0" collapsed="false">
      <c r="A27" s="85" t="s">
        <v>141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</row>
    <row r="28" customFormat="false" ht="15.75" hidden="false" customHeight="true" outlineLevel="0" collapsed="false">
      <c r="B28" s="53" t="s">
        <v>142</v>
      </c>
      <c r="C28" s="53"/>
      <c r="D28" s="53"/>
      <c r="E28" s="53"/>
      <c r="F28" s="53"/>
      <c r="G28" s="53"/>
      <c r="H28" s="53"/>
      <c r="I28" s="53"/>
      <c r="J28" s="53"/>
      <c r="K28" s="53"/>
    </row>
    <row r="29" customFormat="false" ht="15.75" hidden="false" customHeight="true" outlineLevel="0" collapsed="false">
      <c r="A29" s="82" t="s">
        <v>143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</row>
    <row r="30" customFormat="false" ht="15.75" hidden="false" customHeight="true" outlineLevel="0" collapsed="false">
      <c r="A30" s="71" t="s">
        <v>144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</row>
    <row r="31" customFormat="false" ht="15.75" hidden="false" customHeight="true" outlineLevel="0" collapsed="false">
      <c r="B31" s="53" t="s">
        <v>86</v>
      </c>
      <c r="C31" s="53"/>
      <c r="D31" s="53"/>
      <c r="E31" s="53" t="str">
        <f aca="false">Лист1!B8</f>
        <v>«10» декабря 2025 г.</v>
      </c>
      <c r="F31" s="53"/>
      <c r="G31" s="53"/>
      <c r="H31" s="53"/>
      <c r="I31" s="53"/>
      <c r="J31" s="53"/>
      <c r="K31" s="53"/>
    </row>
    <row r="32" customFormat="false" ht="15.75" hidden="false" customHeight="true" outlineLevel="0" collapsed="false"/>
    <row r="33" customFormat="false" ht="15.75" hidden="false" customHeight="true" outlineLevel="0" collapsed="false">
      <c r="B33" s="53" t="s">
        <v>87</v>
      </c>
      <c r="C33" s="53"/>
      <c r="D33" s="53"/>
      <c r="E33" s="53" t="str">
        <f aca="false">Лист1!B9</f>
        <v>«22» декабря 2025 г.</v>
      </c>
      <c r="F33" s="53"/>
      <c r="G33" s="53"/>
      <c r="H33" s="53"/>
      <c r="I33" s="53"/>
      <c r="J33" s="53"/>
      <c r="K33" s="53"/>
    </row>
    <row r="34" customFormat="false" ht="15.75" hidden="false" customHeight="true" outlineLevel="0" collapsed="false"/>
    <row r="35" customFormat="false" ht="15.75" hidden="false" customHeight="true" outlineLevel="0" collapsed="false">
      <c r="A35" s="86" t="s">
        <v>88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</row>
    <row r="36" customFormat="false" ht="15.75" hidden="false" customHeight="true" outlineLevel="0" collapsed="false"/>
    <row r="37" customFormat="false" ht="15.75" hidden="false" customHeight="true" outlineLevel="0" collapsed="false">
      <c r="B37" s="53" t="s">
        <v>145</v>
      </c>
      <c r="C37" s="53"/>
      <c r="D37" s="53"/>
      <c r="E37" s="53"/>
      <c r="F37" s="53"/>
      <c r="G37" s="53"/>
      <c r="H37" s="53"/>
      <c r="I37" s="53"/>
      <c r="J37" s="53"/>
      <c r="K37" s="53"/>
    </row>
    <row r="38" customFormat="false" ht="15.75" hidden="false" customHeight="true" outlineLevel="0" collapsed="false">
      <c r="A38" s="53" t="s">
        <v>146</v>
      </c>
      <c r="B38" s="53"/>
      <c r="C38" s="53"/>
      <c r="D38" s="53"/>
    </row>
    <row r="39" customFormat="false" ht="15.75" hidden="false" customHeight="true" outlineLevel="0" collapsed="false">
      <c r="B39" s="53" t="s">
        <v>147</v>
      </c>
      <c r="C39" s="53"/>
      <c r="D39" s="53"/>
      <c r="E39" s="53"/>
      <c r="F39" s="53"/>
      <c r="G39" s="53"/>
      <c r="H39" s="53"/>
      <c r="I39" s="53"/>
      <c r="J39" s="53"/>
      <c r="K39" s="53"/>
    </row>
    <row r="40" customFormat="false" ht="15.75" hidden="false" customHeight="true" outlineLevel="0" collapsed="false">
      <c r="A40" s="82" t="s">
        <v>148</v>
      </c>
      <c r="B40" s="82"/>
      <c r="C40" s="82"/>
      <c r="D40" s="82"/>
      <c r="E40" s="82"/>
      <c r="F40" s="82"/>
      <c r="G40" s="82"/>
      <c r="H40" s="82"/>
      <c r="I40" s="82"/>
      <c r="J40" s="82"/>
      <c r="K40" s="82"/>
    </row>
    <row r="41" customFormat="false" ht="15.75" hidden="false" customHeight="true" outlineLevel="0" collapsed="false"/>
    <row r="42" customFormat="false" ht="15.75" hidden="false" customHeight="true" outlineLevel="0" collapsed="false">
      <c r="A42" s="69"/>
      <c r="B42" s="53" t="str">
        <f aca="false">Лист1!B20</f>
        <v>Представитель АО «ОЭК»</v>
      </c>
      <c r="C42" s="53"/>
      <c r="D42" s="53"/>
      <c r="E42" s="53"/>
      <c r="F42" s="53"/>
      <c r="G42" s="53"/>
      <c r="H42" s="53"/>
      <c r="I42" s="53"/>
      <c r="J42" s="53"/>
      <c r="K42" s="69"/>
    </row>
    <row r="43" customFormat="false" ht="15.75" hidden="false" customHeight="true" outlineLevel="0" collapsed="false">
      <c r="B43" s="69" t="str">
        <f aca="false">Лист1!B23</f>
        <v>Представитель технического надзора АО «ОЭК»</v>
      </c>
    </row>
    <row r="44" customFormat="false" ht="15.75" hidden="false" customHeight="true" outlineLevel="0" collapsed="false">
      <c r="B44" s="53" t="str">
        <f aca="false">Лист1!B21</f>
        <v>Представитель подрядной организации АНО "ОЭК Стройтрест"</v>
      </c>
      <c r="C44" s="53"/>
      <c r="D44" s="53"/>
      <c r="E44" s="53"/>
      <c r="F44" s="53"/>
      <c r="G44" s="53"/>
      <c r="H44" s="53"/>
      <c r="I44" s="53"/>
      <c r="J44" s="53"/>
    </row>
    <row r="45" customFormat="false" ht="15.75" hidden="false" customHeight="true" outlineLevel="0" collapsed="false">
      <c r="A45" s="69"/>
      <c r="B45" s="53" t="str">
        <f aca="false">Лист1!B22</f>
        <v>Представитель субподрядной организации ООО «СПЕЦИНЖСТРОЙ»</v>
      </c>
      <c r="C45" s="53"/>
      <c r="D45" s="53"/>
      <c r="E45" s="53"/>
      <c r="F45" s="53"/>
      <c r="G45" s="53"/>
      <c r="H45" s="53"/>
      <c r="I45" s="53"/>
      <c r="J45" s="53"/>
      <c r="K45" s="69"/>
    </row>
    <row r="46" customFormat="false" ht="15.75" hidden="false" customHeight="true" outlineLevel="0" collapsed="false">
      <c r="B46" s="53"/>
      <c r="C46" s="53"/>
      <c r="D46" s="53"/>
      <c r="E46" s="53"/>
      <c r="F46" s="53"/>
      <c r="G46" s="53"/>
      <c r="H46" s="53"/>
      <c r="I46" s="53"/>
      <c r="J46" s="53"/>
    </row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</sheetData>
  <mergeCells count="45">
    <mergeCell ref="A1:K1"/>
    <mergeCell ref="A2:K2"/>
    <mergeCell ref="A4:B4"/>
    <mergeCell ref="G4:K4"/>
    <mergeCell ref="A6:E6"/>
    <mergeCell ref="A7:K7"/>
    <mergeCell ref="A9:K9"/>
    <mergeCell ref="A10:K10"/>
    <mergeCell ref="A11:I11"/>
    <mergeCell ref="A12:K12"/>
    <mergeCell ref="A13:B13"/>
    <mergeCell ref="A14:B14"/>
    <mergeCell ref="A15:B15"/>
    <mergeCell ref="C15:K15"/>
    <mergeCell ref="P16:Z16"/>
    <mergeCell ref="C17:K17"/>
    <mergeCell ref="A18:D18"/>
    <mergeCell ref="E18:K18"/>
    <mergeCell ref="P18:Y18"/>
    <mergeCell ref="A19:K19"/>
    <mergeCell ref="B20:K20"/>
    <mergeCell ref="P20:Y20"/>
    <mergeCell ref="A22:E22"/>
    <mergeCell ref="A23:K23"/>
    <mergeCell ref="B24:E24"/>
    <mergeCell ref="F24:K24"/>
    <mergeCell ref="P24:Y24"/>
    <mergeCell ref="A26:K26"/>
    <mergeCell ref="A27:K27"/>
    <mergeCell ref="B28:K28"/>
    <mergeCell ref="A29:K29"/>
    <mergeCell ref="A30:K30"/>
    <mergeCell ref="B31:D31"/>
    <mergeCell ref="E31:K31"/>
    <mergeCell ref="B33:D33"/>
    <mergeCell ref="E33:K33"/>
    <mergeCell ref="A35:K35"/>
    <mergeCell ref="B37:K37"/>
    <mergeCell ref="A38:D38"/>
    <mergeCell ref="B39:K39"/>
    <mergeCell ref="A40:K40"/>
    <mergeCell ref="B42:J42"/>
    <mergeCell ref="B44:J44"/>
    <mergeCell ref="B45:J45"/>
    <mergeCell ref="B46:J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13.7"/>
    <col collapsed="false" customWidth="true" hidden="false" outlineLevel="0" max="3" min="3" style="0" width="16.56"/>
    <col collapsed="false" customWidth="true" hidden="false" outlineLevel="0" max="4" min="4" style="0" width="10.85"/>
    <col collapsed="false" customWidth="true" hidden="false" outlineLevel="0" max="5" min="5" style="0" width="6.41"/>
    <col collapsed="false" customWidth="true" hidden="false" outlineLevel="0" max="6" min="6" style="0" width="8.56"/>
    <col collapsed="false" customWidth="true" hidden="false" outlineLevel="0" max="7" min="7" style="0" width="10.85"/>
    <col collapsed="false" customWidth="true" hidden="false" outlineLevel="0" max="8" min="8" style="0" width="9.28"/>
    <col collapsed="false" customWidth="true" hidden="false" outlineLevel="0" max="10" min="10" style="0" width="8.41"/>
    <col collapsed="false" customWidth="true" hidden="false" outlineLevel="0" max="11" min="11" style="0" width="12.99"/>
    <col collapsed="false" customWidth="true" hidden="false" outlineLevel="0" max="12" min="12" style="0" width="0.28"/>
    <col collapsed="false" customWidth="true" hidden="false" outlineLevel="0" max="13" min="13" style="0" width="9.14"/>
  </cols>
  <sheetData>
    <row r="1" customFormat="false" ht="13.5" hidden="false" customHeight="true" outlineLevel="0" collapsed="false">
      <c r="B1" s="12" t="s">
        <v>57</v>
      </c>
      <c r="C1" s="13" t="str">
        <f aca="false">Лист1!B14</f>
        <v>СВРЭС АО «ОЭК»</v>
      </c>
      <c r="D1" s="13"/>
      <c r="E1" s="13"/>
      <c r="F1" s="13"/>
      <c r="G1" s="14"/>
      <c r="H1" s="13"/>
      <c r="I1" s="13"/>
      <c r="J1" s="13"/>
      <c r="K1" s="13"/>
    </row>
    <row r="2" customFormat="false" ht="13.5" hidden="false" customHeight="true" outlineLevel="0" collapsed="false">
      <c r="B2" s="12" t="s">
        <v>75</v>
      </c>
      <c r="C2" s="13" t="str">
        <f aca="false">Лист1!B15</f>
        <v>АНО «ОЭК Стройтрест»</v>
      </c>
      <c r="D2" s="13"/>
      <c r="E2" s="13"/>
      <c r="F2" s="13"/>
      <c r="G2" s="14"/>
      <c r="H2" s="13"/>
      <c r="I2" s="13"/>
      <c r="J2" s="13"/>
      <c r="K2" s="13"/>
    </row>
    <row r="3" customFormat="false" ht="40.5" hidden="false" customHeight="true" outlineLevel="0" collapsed="false">
      <c r="B3" s="15" t="s">
        <v>59</v>
      </c>
      <c r="C3" s="63" t="str">
        <f aca="false">Лист1!B4</f>
        <v>Резервирование электроснабжения РП 70046</v>
      </c>
      <c r="D3" s="63"/>
      <c r="E3" s="63"/>
      <c r="F3" s="63"/>
      <c r="G3" s="63"/>
      <c r="H3" s="63"/>
      <c r="I3" s="63"/>
      <c r="J3" s="63"/>
      <c r="K3" s="63"/>
    </row>
    <row r="4" customFormat="false" ht="13.5" hidden="false" customHeight="true" outlineLevel="0" collapsed="false">
      <c r="B4" s="15" t="s">
        <v>60</v>
      </c>
      <c r="C4" s="17" t="str">
        <f aca="false">Лист1!B11</f>
        <v>«22» декабря 2025 г.</v>
      </c>
      <c r="G4" s="18"/>
      <c r="H4" s="18"/>
      <c r="I4" s="18"/>
      <c r="J4" s="18"/>
      <c r="K4" s="19"/>
    </row>
    <row r="5" customFormat="false" ht="9.75" hidden="false" customHeight="true" outlineLevel="0" collapsed="false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customFormat="false" ht="15.75" hidden="false" customHeight="true" outlineLevel="0" collapsed="false">
      <c r="A6" s="23" t="s">
        <v>61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customFormat="false" ht="15.75" hidden="false" customHeight="true" outlineLevel="0" collapsed="false">
      <c r="A7" s="23" t="s">
        <v>149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11.25" hidden="false" customHeight="tru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customFormat="false" ht="15.75" hidden="false" customHeight="true" outlineLevel="0" collapsed="false">
      <c r="A9" s="22" t="s">
        <v>63</v>
      </c>
      <c r="B9" s="22"/>
      <c r="C9" s="22"/>
      <c r="D9" s="25"/>
      <c r="E9" s="25"/>
      <c r="F9" s="25"/>
      <c r="G9" s="25"/>
      <c r="H9" s="25"/>
      <c r="I9" s="25"/>
      <c r="J9" s="25"/>
      <c r="K9" s="25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customFormat="false" ht="15.75" hidden="false" customHeight="true" outlineLevel="0" collapsed="false">
      <c r="A10" s="26"/>
      <c r="B10" s="26"/>
      <c r="C10" s="26"/>
      <c r="D10" s="27"/>
      <c r="E10" s="27"/>
      <c r="F10" s="27"/>
      <c r="G10" s="27"/>
      <c r="H10" s="27"/>
      <c r="I10" s="27"/>
      <c r="J10" s="27"/>
      <c r="K10" s="27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customFormat="false" ht="18" hidden="false" customHeight="true" outlineLevel="0" collapsed="false">
      <c r="A11" s="26" t="str">
        <f aca="false">Лист1!B20</f>
        <v>Представитель АО «ОЭК»</v>
      </c>
      <c r="B11" s="29"/>
      <c r="D11" s="26"/>
      <c r="E11" s="26"/>
      <c r="F11" s="26"/>
      <c r="G11" s="26"/>
      <c r="H11" s="26"/>
      <c r="I11" s="26"/>
      <c r="J11" s="26"/>
      <c r="K11" s="26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15.75" hidden="false" customHeight="true" outlineLevel="0" collapsed="false">
      <c r="A12" s="27" t="str">
        <f aca="false">Лист1!B21</f>
        <v>Представитель подрядной организации АНО "ОЭК Стройтрест"</v>
      </c>
      <c r="B12" s="29"/>
      <c r="D12" s="27"/>
      <c r="E12" s="27"/>
      <c r="F12" s="27"/>
      <c r="G12" s="27"/>
      <c r="H12" s="27"/>
      <c r="I12" s="27"/>
      <c r="J12" s="27"/>
      <c r="K12" s="27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15.75" hidden="false" customHeight="true" outlineLevel="0" collapsed="false">
      <c r="A13" s="25"/>
      <c r="B13" s="25"/>
      <c r="C13" s="26"/>
      <c r="D13" s="25"/>
      <c r="E13" s="25"/>
      <c r="F13" s="25"/>
      <c r="G13" s="25"/>
      <c r="H13" s="25"/>
      <c r="I13" s="25"/>
      <c r="J13" s="25"/>
      <c r="K13" s="25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15.75" hidden="false" customHeight="true" outlineLevel="0" collapsed="false">
      <c r="A14" s="22" t="s">
        <v>77</v>
      </c>
      <c r="B14" s="30"/>
      <c r="C14" s="26"/>
      <c r="D14" s="30"/>
      <c r="E14" s="32" t="str">
        <f aca="false">Лист1!B10</f>
        <v>ООО «СПЕЦИНЖСТРОЙ»</v>
      </c>
      <c r="F14" s="32"/>
      <c r="G14" s="32"/>
      <c r="H14" s="31"/>
      <c r="I14" s="31"/>
      <c r="J14" s="31"/>
      <c r="K14" s="26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5.75" hidden="false" customHeight="true" outlineLevel="0" collapsed="false">
      <c r="A15" s="31" t="s">
        <v>78</v>
      </c>
      <c r="B15" s="31"/>
      <c r="C15" s="31"/>
      <c r="D15" s="26"/>
      <c r="E15" s="26"/>
      <c r="F15" s="31"/>
      <c r="G15" s="31"/>
      <c r="H15" s="31"/>
      <c r="I15" s="31"/>
      <c r="J15" s="26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5.75" hidden="false" customHeight="true" outlineLevel="0" collapsed="false">
      <c r="A16" s="27" t="s">
        <v>79</v>
      </c>
      <c r="B16" s="30"/>
      <c r="C16" s="26"/>
      <c r="D16" s="25"/>
      <c r="E16" s="25"/>
      <c r="F16" s="25"/>
      <c r="G16" s="25"/>
      <c r="H16" s="25"/>
      <c r="I16" s="25"/>
      <c r="J16" s="25"/>
      <c r="K16" s="25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5.75" hidden="false" customHeight="true" outlineLevel="0" collapsed="false">
      <c r="A17" s="27" t="s">
        <v>150</v>
      </c>
      <c r="B17" s="30"/>
      <c r="C17" s="26"/>
      <c r="D17" s="31"/>
      <c r="E17" s="31"/>
      <c r="F17" s="32" t="str">
        <f aca="false">Лист1!B6</f>
        <v>ЗП № 5-5</v>
      </c>
      <c r="G17" s="32"/>
      <c r="H17" s="32"/>
      <c r="I17" s="27" t="s">
        <v>81</v>
      </c>
      <c r="J17" s="30"/>
      <c r="K17" s="30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customFormat="false" ht="15.75" hidden="false" customHeight="true" outlineLevel="0" collapsed="false">
      <c r="A18" s="27" t="s">
        <v>82</v>
      </c>
      <c r="B18" s="30"/>
      <c r="C18" s="33" t="str">
        <f aca="false">Лист1!B5</f>
        <v>г. Москва, Огородный проезд, д. 11, стр. 5</v>
      </c>
      <c r="D18" s="33"/>
      <c r="E18" s="33"/>
      <c r="F18" s="33"/>
      <c r="G18" s="33"/>
      <c r="H18" s="33"/>
      <c r="I18" s="27"/>
      <c r="J18" s="30"/>
      <c r="K18" s="30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customFormat="false" ht="15.75" hidden="false" customHeight="true" outlineLevel="0" collapsed="false">
      <c r="A19" s="36"/>
      <c r="B19" s="36"/>
      <c r="C19" s="26"/>
      <c r="D19" s="38"/>
      <c r="E19" s="38"/>
      <c r="F19" s="39"/>
      <c r="G19" s="38"/>
      <c r="H19" s="38"/>
      <c r="I19" s="39"/>
      <c r="J19" s="30"/>
      <c r="K19" s="30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customFormat="false" ht="15.75" hidden="false" customHeight="true" outlineLevel="0" collapsed="false">
      <c r="A20" s="27" t="s">
        <v>83</v>
      </c>
      <c r="B20" s="27"/>
      <c r="C20" s="26"/>
      <c r="D20" s="32" t="str">
        <f aca="false">Лист1!B16</f>
        <v>ООО «СПЕЦИНЖСТРОЙ»</v>
      </c>
      <c r="E20" s="32"/>
      <c r="F20" s="32"/>
      <c r="G20" s="38" t="s">
        <v>84</v>
      </c>
      <c r="H20" s="34" t="str">
        <f aca="false">Лист1!B7</f>
        <v>04-ОЭКСТ-КС-25-ТКР.1</v>
      </c>
      <c r="I20" s="34"/>
      <c r="J20" s="34"/>
      <c r="K20" s="30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customFormat="false" ht="15.75" hidden="false" customHeight="true" outlineLevel="0" collapsed="false">
      <c r="A21" s="27"/>
      <c r="B21" s="27"/>
      <c r="C21" s="26"/>
      <c r="D21" s="39"/>
      <c r="E21" s="39"/>
      <c r="F21" s="39"/>
      <c r="G21" s="38"/>
      <c r="H21" s="39"/>
      <c r="I21" s="39"/>
      <c r="J21" s="39"/>
      <c r="K21" s="30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customFormat="false" ht="28.5" hidden="false" customHeight="true" outlineLevel="0" collapsed="false">
      <c r="A22" s="27" t="s">
        <v>116</v>
      </c>
      <c r="B22" s="27"/>
      <c r="C22" s="26"/>
      <c r="D22" s="39"/>
      <c r="E22" s="64" t="str">
        <f aca="false">Лист1!B26</f>
        <v>Труба ЭЛЕКТРОПАЙП 225/170 - N 1250 F2 SDR 13,6</v>
      </c>
      <c r="F22" s="64"/>
      <c r="G22" s="64"/>
      <c r="H22" s="64"/>
      <c r="I22" s="64"/>
      <c r="J22" s="64"/>
      <c r="K22" s="30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customFormat="false" ht="15.75" hidden="false" customHeight="true" outlineLevel="0" collapsed="false">
      <c r="A23" s="36"/>
      <c r="B23" s="36"/>
      <c r="C23" s="26"/>
      <c r="D23" s="38"/>
      <c r="E23" s="13"/>
      <c r="F23" s="13"/>
      <c r="G23" s="38"/>
      <c r="H23" s="26"/>
      <c r="I23" s="26"/>
      <c r="J23" s="30"/>
      <c r="K23" s="30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customFormat="false" ht="15.75" hidden="false" customHeight="true" outlineLevel="0" collapsed="false">
      <c r="A24" s="27" t="s">
        <v>86</v>
      </c>
      <c r="B24" s="36"/>
      <c r="C24" s="26"/>
      <c r="D24" s="40" t="str">
        <f aca="false">Лист1!B8</f>
        <v>«10» декабря 2025 г.</v>
      </c>
      <c r="E24" s="40"/>
      <c r="F24" s="40"/>
      <c r="G24" s="38"/>
      <c r="H24" s="13"/>
      <c r="I24" s="13"/>
      <c r="J24" s="30"/>
      <c r="K24" s="30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customFormat="false" ht="15.75" hidden="false" customHeight="true" outlineLevel="0" collapsed="false">
      <c r="A25" s="36"/>
      <c r="B25" s="36"/>
      <c r="C25" s="26"/>
      <c r="D25" s="13"/>
      <c r="E25" s="30"/>
      <c r="F25" s="30"/>
      <c r="G25" s="30"/>
      <c r="H25" s="30"/>
      <c r="I25" s="30"/>
      <c r="J25" s="30"/>
      <c r="K25" s="30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customFormat="false" ht="15.75" hidden="false" customHeight="true" outlineLevel="0" collapsed="false">
      <c r="A26" s="27" t="s">
        <v>87</v>
      </c>
      <c r="B26" s="36"/>
      <c r="C26" s="26"/>
      <c r="D26" s="40" t="str">
        <f aca="false">Лист1!B9</f>
        <v>«22» декабря 2025 г.</v>
      </c>
      <c r="E26" s="40"/>
      <c r="F26" s="40"/>
      <c r="G26" s="30"/>
      <c r="H26" s="30"/>
      <c r="I26" s="30"/>
      <c r="J26" s="30"/>
      <c r="K26" s="30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customFormat="false" ht="15.75" hidden="false" customHeight="true" outlineLevel="0" collapsed="false">
      <c r="A27" s="36"/>
      <c r="B27" s="36"/>
      <c r="C27" s="26"/>
      <c r="D27" s="30"/>
      <c r="E27" s="30"/>
      <c r="F27" s="30"/>
      <c r="G27" s="30"/>
      <c r="H27" s="30"/>
      <c r="I27" s="30"/>
      <c r="J27" s="30"/>
      <c r="K27" s="30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customFormat="false" ht="15.75" hidden="false" customHeight="true" outlineLevel="0" collapsed="false">
      <c r="A28" s="23" t="s">
        <v>88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customFormat="false" ht="15.75" hidden="false" customHeight="true" outlineLevel="0" collapsed="false">
      <c r="A29" s="27" t="s">
        <v>89</v>
      </c>
      <c r="B29" s="36"/>
      <c r="C29" s="26"/>
      <c r="D29" s="30"/>
      <c r="E29" s="30"/>
      <c r="F29" s="30"/>
      <c r="G29" s="30"/>
      <c r="H29" s="30"/>
      <c r="I29" s="30"/>
      <c r="J29" s="30"/>
      <c r="K29" s="30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customFormat="false" ht="15.75" hidden="false" customHeight="true" outlineLevel="0" collapsed="false">
      <c r="A30" s="27" t="s">
        <v>117</v>
      </c>
      <c r="B30" s="36"/>
      <c r="C30" s="26"/>
      <c r="D30" s="30"/>
      <c r="E30" s="31"/>
      <c r="F30" s="31"/>
      <c r="G30" s="31"/>
      <c r="H30" s="36"/>
      <c r="I30" s="30"/>
      <c r="J30" s="30"/>
      <c r="K30" s="30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customFormat="false" ht="15.75" hidden="false" customHeight="true" outlineLevel="0" collapsed="false">
      <c r="A31" s="36"/>
      <c r="B31" s="36"/>
      <c r="C31" s="26"/>
      <c r="D31" s="30"/>
      <c r="E31" s="39"/>
      <c r="F31" s="39"/>
      <c r="G31" s="39"/>
      <c r="H31" s="36"/>
      <c r="I31" s="30"/>
      <c r="J31" s="30"/>
      <c r="K31" s="30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customFormat="false" ht="15.75" hidden="false" customHeight="true" outlineLevel="0" collapsed="false">
      <c r="A32" s="36"/>
      <c r="B32" s="36"/>
      <c r="C32" s="26"/>
      <c r="D32" s="30"/>
      <c r="E32" s="30"/>
      <c r="F32" s="30"/>
      <c r="G32" s="30"/>
      <c r="H32" s="30"/>
      <c r="I32" s="30"/>
      <c r="J32" s="30"/>
      <c r="K32" s="30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>
      <c r="A35" s="27" t="str">
        <f aca="false">Лист1!C20</f>
        <v>Мастер по ЭРС СВРЭС  Коробков Ю.Н.</v>
      </c>
      <c r="C35" s="27"/>
      <c r="D35" s="27"/>
      <c r="E35" s="27"/>
      <c r="F35" s="27"/>
      <c r="G35" s="27"/>
      <c r="H35" s="27"/>
      <c r="I35" s="27"/>
    </row>
    <row r="36" customFormat="false" ht="15.75" hidden="false" customHeight="true" outlineLevel="0" collapsed="false">
      <c r="A36" s="27"/>
      <c r="C36" s="27"/>
      <c r="D36" s="27"/>
      <c r="E36" s="27"/>
      <c r="F36" s="27"/>
      <c r="G36" s="27"/>
      <c r="H36" s="27"/>
      <c r="I36" s="27"/>
    </row>
    <row r="37" customFormat="false" ht="15.75" hidden="false" customHeight="true" outlineLevel="0" collapsed="false">
      <c r="A37" s="27" t="str">
        <f aca="false">Лист1!C21</f>
        <v>Начальник участка  Буряк А.М.</v>
      </c>
      <c r="C37" s="27"/>
      <c r="D37" s="27"/>
      <c r="E37" s="27"/>
      <c r="F37" s="27"/>
      <c r="G37" s="27"/>
      <c r="H37" s="27"/>
      <c r="I37" s="27"/>
    </row>
    <row r="38" customFormat="false" ht="15.75" hidden="false" customHeight="true" outlineLevel="0" collapsed="false">
      <c r="A38" s="27"/>
      <c r="C38" s="27"/>
      <c r="D38" s="27"/>
      <c r="E38" s="27"/>
      <c r="F38" s="27"/>
      <c r="G38" s="27"/>
      <c r="H38" s="27"/>
      <c r="I38" s="27"/>
    </row>
    <row r="39" customFormat="false" ht="15.75" hidden="false" customHeight="true" outlineLevel="0" collapsed="false">
      <c r="A39" s="27"/>
      <c r="C39" s="27"/>
      <c r="D39" s="27"/>
      <c r="E39" s="27"/>
      <c r="F39" s="27"/>
      <c r="G39" s="27"/>
      <c r="H39" s="27"/>
      <c r="I39" s="27"/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</sheetData>
  <mergeCells count="14">
    <mergeCell ref="C3:K3"/>
    <mergeCell ref="G4:J4"/>
    <mergeCell ref="A5:B5"/>
    <mergeCell ref="G5:K5"/>
    <mergeCell ref="A6:K6"/>
    <mergeCell ref="A7:K7"/>
    <mergeCell ref="E14:G14"/>
    <mergeCell ref="F17:H17"/>
    <mergeCell ref="C18:H18"/>
    <mergeCell ref="D20:F20"/>
    <mergeCell ref="E22:J22"/>
    <mergeCell ref="D24:F24"/>
    <mergeCell ref="D26:F26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13.7"/>
    <col collapsed="false" customWidth="true" hidden="false" outlineLevel="0" max="3" min="3" style="0" width="16.56"/>
    <col collapsed="false" customWidth="true" hidden="false" outlineLevel="0" max="4" min="4" style="0" width="10.85"/>
    <col collapsed="false" customWidth="true" hidden="false" outlineLevel="0" max="5" min="5" style="0" width="6.41"/>
    <col collapsed="false" customWidth="true" hidden="false" outlineLevel="0" max="6" min="6" style="0" width="16.7"/>
    <col collapsed="false" customWidth="true" hidden="false" outlineLevel="0" max="7" min="7" style="0" width="10.85"/>
    <col collapsed="false" customWidth="true" hidden="false" outlineLevel="0" max="8" min="8" style="0" width="9.28"/>
    <col collapsed="false" customWidth="true" hidden="false" outlineLevel="0" max="10" min="10" style="0" width="8.41"/>
    <col collapsed="false" customWidth="true" hidden="false" outlineLevel="0" max="11" min="11" style="0" width="12.99"/>
    <col collapsed="false" customWidth="true" hidden="false" outlineLevel="0" max="12" min="12" style="0" width="0.28"/>
    <col collapsed="false" customWidth="true" hidden="false" outlineLevel="0" max="13" min="13" style="0" width="9.14"/>
  </cols>
  <sheetData>
    <row r="1" customFormat="false" ht="13.5" hidden="false" customHeight="true" outlineLevel="0" collapsed="false">
      <c r="B1" s="12" t="s">
        <v>57</v>
      </c>
      <c r="C1" s="13" t="str">
        <f aca="false">Лист1!B14</f>
        <v>СВРЭС АО «ОЭК»</v>
      </c>
      <c r="D1" s="13"/>
      <c r="E1" s="13"/>
      <c r="F1" s="13"/>
      <c r="G1" s="14"/>
      <c r="H1" s="13"/>
      <c r="I1" s="13"/>
      <c r="J1" s="13"/>
      <c r="K1" s="13"/>
    </row>
    <row r="2" customFormat="false" ht="13.5" hidden="false" customHeight="true" outlineLevel="0" collapsed="false">
      <c r="B2" s="12" t="s">
        <v>75</v>
      </c>
      <c r="C2" s="13" t="str">
        <f aca="false">Лист1!B15</f>
        <v>АНО «ОЭК Стройтрест»</v>
      </c>
      <c r="D2" s="13"/>
      <c r="E2" s="13"/>
      <c r="F2" s="13"/>
      <c r="G2" s="14"/>
      <c r="H2" s="13"/>
      <c r="I2" s="13"/>
      <c r="J2" s="13"/>
      <c r="K2" s="13"/>
    </row>
    <row r="3" customFormat="false" ht="39.75" hidden="false" customHeight="true" outlineLevel="0" collapsed="false">
      <c r="B3" s="15" t="s">
        <v>59</v>
      </c>
      <c r="C3" s="63" t="str">
        <f aca="false">Лист1!B4</f>
        <v>Резервирование электроснабжения РП 70046</v>
      </c>
      <c r="D3" s="63"/>
      <c r="E3" s="63"/>
      <c r="F3" s="63"/>
      <c r="G3" s="63"/>
      <c r="H3" s="63"/>
      <c r="I3" s="63"/>
      <c r="J3" s="63"/>
      <c r="K3" s="63"/>
    </row>
    <row r="4" customFormat="false" ht="13.5" hidden="false" customHeight="true" outlineLevel="0" collapsed="false">
      <c r="B4" s="15" t="s">
        <v>60</v>
      </c>
      <c r="C4" s="17" t="str">
        <f aca="false">Лист1!B11</f>
        <v>«22» декабря 2025 г.</v>
      </c>
      <c r="G4" s="18"/>
      <c r="H4" s="18"/>
      <c r="I4" s="18"/>
      <c r="J4" s="18"/>
      <c r="K4" s="19"/>
    </row>
    <row r="5" customFormat="false" ht="9.75" hidden="false" customHeight="true" outlineLevel="0" collapsed="false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customFormat="false" ht="15.75" hidden="false" customHeight="true" outlineLevel="0" collapsed="false">
      <c r="A6" s="23" t="s">
        <v>61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customFormat="false" ht="15.75" hidden="false" customHeight="true" outlineLevel="0" collapsed="false">
      <c r="A7" s="23" t="s">
        <v>151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11.25" hidden="false" customHeight="tru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customFormat="false" ht="15.75" hidden="false" customHeight="true" outlineLevel="0" collapsed="false">
      <c r="A9" s="22" t="s">
        <v>63</v>
      </c>
      <c r="B9" s="22"/>
      <c r="C9" s="22"/>
      <c r="D9" s="25"/>
      <c r="E9" s="25"/>
      <c r="F9" s="25"/>
      <c r="G9" s="25"/>
      <c r="H9" s="25"/>
      <c r="I9" s="25"/>
      <c r="J9" s="25"/>
      <c r="K9" s="25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customFormat="false" ht="15.75" hidden="false" customHeight="true" outlineLevel="0" collapsed="false">
      <c r="A10" s="26"/>
      <c r="B10" s="26"/>
      <c r="C10" s="26"/>
      <c r="D10" s="27"/>
      <c r="E10" s="27"/>
      <c r="F10" s="27"/>
      <c r="G10" s="27"/>
      <c r="H10" s="27"/>
      <c r="I10" s="27"/>
      <c r="J10" s="27"/>
      <c r="K10" s="27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customFormat="false" ht="18" hidden="false" customHeight="true" outlineLevel="0" collapsed="false">
      <c r="A11" s="26" t="str">
        <f aca="false">Лист1!B20</f>
        <v>Представитель АО «ОЭК»</v>
      </c>
      <c r="B11" s="29"/>
      <c r="D11" s="26"/>
      <c r="E11" s="26"/>
      <c r="F11" s="26"/>
      <c r="G11" s="26"/>
      <c r="H11" s="26"/>
      <c r="I11" s="26"/>
      <c r="J11" s="26"/>
      <c r="K11" s="26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15.75" hidden="false" customHeight="true" outlineLevel="0" collapsed="false">
      <c r="A12" s="27" t="str">
        <f aca="false">Лист1!B21</f>
        <v>Представитель подрядной организации АНО "ОЭК Стройтрест"</v>
      </c>
      <c r="B12" s="29"/>
      <c r="D12" s="27"/>
      <c r="E12" s="27"/>
      <c r="F12" s="27"/>
      <c r="G12" s="27"/>
      <c r="H12" s="27"/>
      <c r="I12" s="27"/>
      <c r="J12" s="27"/>
      <c r="K12" s="27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15.75" hidden="false" customHeight="true" outlineLevel="0" collapsed="false">
      <c r="A13" s="26" t="str">
        <f aca="false">Лист1!B22</f>
        <v>Представитель субподрядной организации ООО «СПЕЦИНЖСТРОЙ»</v>
      </c>
      <c r="B13" s="25"/>
      <c r="D13" s="25"/>
      <c r="E13" s="25"/>
      <c r="F13" s="25"/>
      <c r="G13" s="25"/>
      <c r="H13" s="25"/>
      <c r="I13" s="25"/>
      <c r="J13" s="25"/>
      <c r="K13" s="25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15.75" hidden="false" customHeight="true" outlineLevel="0" collapsed="false">
      <c r="A14" s="22" t="s">
        <v>77</v>
      </c>
      <c r="B14" s="30"/>
      <c r="C14" s="26"/>
      <c r="D14" s="30"/>
      <c r="E14" s="32" t="str">
        <f aca="false">Лист1!B10</f>
        <v>ООО «СПЕЦИНЖСТРОЙ»</v>
      </c>
      <c r="F14" s="32"/>
      <c r="G14" s="32"/>
      <c r="H14" s="31"/>
      <c r="I14" s="31"/>
      <c r="J14" s="31"/>
      <c r="K14" s="26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5.75" hidden="false" customHeight="true" outlineLevel="0" collapsed="false">
      <c r="A15" s="31" t="s">
        <v>78</v>
      </c>
      <c r="B15" s="31"/>
      <c r="C15" s="31"/>
      <c r="D15" s="26"/>
      <c r="E15" s="26"/>
      <c r="F15" s="31"/>
      <c r="G15" s="31"/>
      <c r="H15" s="31"/>
      <c r="I15" s="31"/>
      <c r="J15" s="26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5.75" hidden="false" customHeight="true" outlineLevel="0" collapsed="false">
      <c r="A16" s="27" t="s">
        <v>79</v>
      </c>
      <c r="B16" s="30"/>
      <c r="C16" s="26"/>
      <c r="D16" s="25"/>
      <c r="E16" s="25"/>
      <c r="F16" s="25"/>
      <c r="G16" s="25"/>
      <c r="H16" s="25"/>
      <c r="I16" s="25"/>
      <c r="J16" s="25"/>
      <c r="K16" s="25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5.75" hidden="false" customHeight="true" outlineLevel="0" collapsed="false">
      <c r="A17" s="27" t="s">
        <v>152</v>
      </c>
      <c r="B17" s="30"/>
      <c r="C17" s="26"/>
      <c r="D17" s="31"/>
      <c r="E17" s="32" t="str">
        <f aca="false">Лист1!B6</f>
        <v>ЗП № 5-5</v>
      </c>
      <c r="F17" s="32"/>
      <c r="G17" s="32"/>
      <c r="H17" s="27" t="s">
        <v>153</v>
      </c>
      <c r="J17" s="30"/>
      <c r="K17" s="30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customFormat="false" ht="15.75" hidden="false" customHeight="true" outlineLevel="0" collapsed="false">
      <c r="A18" s="27" t="s">
        <v>82</v>
      </c>
      <c r="B18" s="30"/>
      <c r="C18" s="33" t="str">
        <f aca="false">Лист1!B5</f>
        <v>г. Москва, Огородный проезд, д. 11, стр. 5</v>
      </c>
      <c r="D18" s="33"/>
      <c r="E18" s="33"/>
      <c r="F18" s="33"/>
      <c r="G18" s="33"/>
      <c r="H18" s="33"/>
      <c r="I18" s="27"/>
      <c r="J18" s="30"/>
      <c r="K18" s="30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customFormat="false" ht="15.75" hidden="false" customHeight="true" outlineLevel="0" collapsed="false">
      <c r="A19" s="36"/>
      <c r="B19" s="36"/>
      <c r="C19" s="26"/>
      <c r="D19" s="38"/>
      <c r="E19" s="38"/>
      <c r="F19" s="39"/>
      <c r="G19" s="38"/>
      <c r="H19" s="38"/>
      <c r="I19" s="39"/>
      <c r="J19" s="30"/>
      <c r="K19" s="30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customFormat="false" ht="15.75" hidden="false" customHeight="true" outlineLevel="0" collapsed="false">
      <c r="A20" s="87" t="s">
        <v>154</v>
      </c>
      <c r="B20" s="87"/>
      <c r="C20" s="87"/>
      <c r="D20" s="31"/>
      <c r="E20" s="88" t="n">
        <f aca="false">Лист1!H31</f>
        <v>29.9492307692308</v>
      </c>
      <c r="F20" s="88"/>
      <c r="G20" s="26"/>
      <c r="H20" s="26"/>
      <c r="I20" s="31"/>
      <c r="J20" s="31"/>
      <c r="K20" s="30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customFormat="false" ht="15.75" hidden="false" customHeight="true" outlineLevel="0" collapsed="false">
      <c r="A21" s="27"/>
      <c r="B21" s="27"/>
      <c r="C21" s="26"/>
      <c r="D21" s="39"/>
      <c r="E21" s="39"/>
      <c r="F21" s="39"/>
      <c r="G21" s="38"/>
      <c r="H21" s="31"/>
      <c r="I21" s="31"/>
      <c r="J21" s="31"/>
      <c r="K21" s="30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customFormat="false" ht="15.75" hidden="false" customHeight="true" outlineLevel="0" collapsed="false">
      <c r="A22" s="27" t="s">
        <v>155</v>
      </c>
      <c r="B22" s="27"/>
      <c r="C22" s="26"/>
      <c r="D22" s="32" t="str">
        <f aca="false">Лист1!B16</f>
        <v>ООО «СПЕЦИНЖСТРОЙ»</v>
      </c>
      <c r="E22" s="32"/>
      <c r="F22" s="32"/>
      <c r="G22" s="38" t="s">
        <v>84</v>
      </c>
      <c r="H22" s="34" t="str">
        <f aca="false">Лист1!B7</f>
        <v>04-ОЭКСТ-КС-25-ТКР.1</v>
      </c>
      <c r="I22" s="31"/>
      <c r="J22" s="31"/>
      <c r="K22" s="30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customFormat="false" ht="15.75" hidden="false" customHeight="true" outlineLevel="0" collapsed="false">
      <c r="A23" s="27"/>
      <c r="B23" s="27"/>
      <c r="C23" s="26"/>
      <c r="D23" s="39"/>
      <c r="E23" s="39"/>
      <c r="F23" s="39"/>
      <c r="G23" s="38"/>
      <c r="H23" s="39"/>
      <c r="I23" s="39"/>
      <c r="J23" s="39"/>
      <c r="K23" s="30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customFormat="false" ht="25.5" hidden="false" customHeight="true" outlineLevel="0" collapsed="false">
      <c r="A24" s="27" t="s">
        <v>156</v>
      </c>
      <c r="B24" s="27"/>
      <c r="C24" s="26"/>
      <c r="D24" s="39"/>
      <c r="E24" s="57" t="str">
        <f aca="false">Лист1!B26</f>
        <v>Труба ЭЛЕКТРОПАЙП 225/170 - N 1250 F2 SDR 13,6</v>
      </c>
      <c r="F24" s="57"/>
      <c r="G24" s="57"/>
      <c r="H24" s="57"/>
      <c r="I24" s="57"/>
      <c r="J24" s="57"/>
      <c r="K24" s="30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customFormat="false" ht="15.75" hidden="false" customHeight="true" outlineLevel="0" collapsed="false">
      <c r="A25" s="36"/>
      <c r="B25" s="36"/>
      <c r="C25" s="26"/>
      <c r="D25" s="38"/>
      <c r="E25" s="13"/>
      <c r="F25" s="13"/>
      <c r="G25" s="38"/>
      <c r="H25" s="26"/>
      <c r="I25" s="26"/>
      <c r="J25" s="30"/>
      <c r="K25" s="30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customFormat="false" ht="15.75" hidden="false" customHeight="true" outlineLevel="0" collapsed="false">
      <c r="A26" s="27" t="s">
        <v>126</v>
      </c>
      <c r="B26" s="36"/>
      <c r="C26" s="26"/>
      <c r="D26" s="32" t="str">
        <f aca="false">Лист1!B8</f>
        <v>«10» декабря 2025 г.</v>
      </c>
      <c r="E26" s="32"/>
      <c r="F26" s="32"/>
      <c r="G26" s="38"/>
      <c r="H26" s="13"/>
      <c r="I26" s="13"/>
      <c r="J26" s="30"/>
      <c r="K26" s="30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customFormat="false" ht="15.75" hidden="false" customHeight="true" outlineLevel="0" collapsed="false">
      <c r="A27" s="36"/>
      <c r="B27" s="36"/>
      <c r="C27" s="26"/>
      <c r="D27" s="13"/>
      <c r="E27" s="30"/>
      <c r="F27" s="30"/>
      <c r="G27" s="30"/>
      <c r="H27" s="30"/>
      <c r="I27" s="30"/>
      <c r="J27" s="30"/>
      <c r="K27" s="30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customFormat="false" ht="15.75" hidden="false" customHeight="true" outlineLevel="0" collapsed="false">
      <c r="A28" s="27" t="s">
        <v>127</v>
      </c>
      <c r="B28" s="36"/>
      <c r="C28" s="26"/>
      <c r="D28" s="32" t="str">
        <f aca="false">Лист1!B9</f>
        <v>«22» декабря 2025 г.</v>
      </c>
      <c r="E28" s="32"/>
      <c r="F28" s="32"/>
      <c r="G28" s="30"/>
      <c r="H28" s="30"/>
      <c r="I28" s="30"/>
      <c r="J28" s="30"/>
      <c r="K28" s="30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customFormat="false" ht="15.75" hidden="false" customHeight="true" outlineLevel="0" collapsed="false">
      <c r="A29" s="36"/>
      <c r="B29" s="36"/>
      <c r="C29" s="26"/>
      <c r="D29" s="30"/>
      <c r="E29" s="30"/>
      <c r="F29" s="30"/>
      <c r="G29" s="30"/>
      <c r="H29" s="30"/>
      <c r="I29" s="30"/>
      <c r="J29" s="30"/>
      <c r="K29" s="30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customFormat="false" ht="15.75" hidden="false" customHeight="true" outlineLevel="0" collapsed="false">
      <c r="A30" s="23" t="s">
        <v>88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customFormat="false" ht="15.75" hidden="false" customHeight="true" outlineLevel="0" collapsed="false">
      <c r="A31" s="27" t="s">
        <v>89</v>
      </c>
      <c r="B31" s="36"/>
      <c r="C31" s="26"/>
      <c r="D31" s="30"/>
      <c r="E31" s="30"/>
      <c r="F31" s="30"/>
      <c r="G31" s="30"/>
      <c r="H31" s="30"/>
      <c r="I31" s="30"/>
      <c r="J31" s="30"/>
      <c r="K31" s="30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customFormat="false" ht="15.75" hidden="false" customHeight="true" outlineLevel="0" collapsed="false">
      <c r="A32" s="27" t="s">
        <v>157</v>
      </c>
      <c r="B32" s="36"/>
      <c r="C32" s="26"/>
      <c r="D32" s="30"/>
      <c r="E32" s="31"/>
      <c r="F32" s="31"/>
      <c r="G32" s="31"/>
      <c r="H32" s="36"/>
      <c r="I32" s="30"/>
      <c r="J32" s="30"/>
      <c r="K32" s="30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customFormat="false" ht="15.75" hidden="false" customHeight="true" outlineLevel="0" collapsed="false">
      <c r="A33" s="36"/>
      <c r="B33" s="36"/>
      <c r="C33" s="26"/>
      <c r="D33" s="30"/>
      <c r="E33" s="39"/>
      <c r="F33" s="39"/>
      <c r="G33" s="39"/>
      <c r="H33" s="36"/>
      <c r="I33" s="30"/>
      <c r="J33" s="30"/>
      <c r="K33" s="30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customFormat="false" ht="15.75" hidden="false" customHeight="true" outlineLevel="0" collapsed="false">
      <c r="A34" s="36"/>
      <c r="B34" s="36"/>
      <c r="C34" s="26"/>
      <c r="D34" s="30"/>
      <c r="E34" s="30"/>
      <c r="F34" s="30"/>
      <c r="G34" s="30"/>
      <c r="H34" s="30"/>
      <c r="I34" s="30"/>
      <c r="J34" s="30"/>
      <c r="K34" s="30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>
      <c r="A37" s="27" t="str">
        <f aca="false">Лист1!C20</f>
        <v>Мастер по ЭРС СВРЭС  Коробков Ю.Н.</v>
      </c>
      <c r="C37" s="27"/>
      <c r="D37" s="27"/>
      <c r="E37" s="27"/>
      <c r="F37" s="27"/>
      <c r="G37" s="27"/>
      <c r="H37" s="27"/>
      <c r="I37" s="27"/>
    </row>
    <row r="38" customFormat="false" ht="15.75" hidden="false" customHeight="true" outlineLevel="0" collapsed="false">
      <c r="A38" s="27"/>
      <c r="C38" s="27"/>
      <c r="D38" s="27"/>
      <c r="E38" s="27"/>
      <c r="F38" s="27"/>
      <c r="G38" s="27"/>
      <c r="H38" s="27"/>
      <c r="I38" s="27"/>
    </row>
    <row r="39" customFormat="false" ht="15.75" hidden="false" customHeight="true" outlineLevel="0" collapsed="false">
      <c r="A39" s="27" t="str">
        <f aca="false">Лист1!C21</f>
        <v>Начальник участка  Буряк А.М.</v>
      </c>
      <c r="C39" s="27"/>
      <c r="D39" s="27"/>
      <c r="E39" s="27"/>
      <c r="F39" s="27"/>
      <c r="G39" s="27"/>
      <c r="H39" s="27"/>
      <c r="I39" s="27"/>
    </row>
    <row r="40" customFormat="false" ht="15.75" hidden="false" customHeight="true" outlineLevel="0" collapsed="false">
      <c r="A40" s="27"/>
      <c r="C40" s="27"/>
      <c r="D40" s="27"/>
      <c r="E40" s="27"/>
      <c r="F40" s="27"/>
      <c r="G40" s="27"/>
      <c r="H40" s="27"/>
      <c r="I40" s="27"/>
    </row>
    <row r="41" customFormat="false" ht="15.75" hidden="false" customHeight="true" outlineLevel="0" collapsed="false">
      <c r="A41" s="27"/>
      <c r="C41" s="27"/>
      <c r="D41" s="27"/>
      <c r="E41" s="27"/>
      <c r="F41" s="27"/>
      <c r="G41" s="27"/>
      <c r="H41" s="27"/>
      <c r="I41" s="27"/>
    </row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</sheetData>
  <mergeCells count="15">
    <mergeCell ref="C3:K3"/>
    <mergeCell ref="G4:J4"/>
    <mergeCell ref="A5:B5"/>
    <mergeCell ref="G5:K5"/>
    <mergeCell ref="A6:K6"/>
    <mergeCell ref="A7:K7"/>
    <mergeCell ref="E14:G14"/>
    <mergeCell ref="E17:G17"/>
    <mergeCell ref="C18:H18"/>
    <mergeCell ref="E20:F20"/>
    <mergeCell ref="D22:F22"/>
    <mergeCell ref="E24:J24"/>
    <mergeCell ref="D26:F26"/>
    <mergeCell ref="D28:F28"/>
    <mergeCell ref="A30:K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9.7"/>
    <col collapsed="false" customWidth="true" hidden="false" outlineLevel="0" max="3" min="3" style="0" width="9.14"/>
    <col collapsed="false" customWidth="true" hidden="false" outlineLevel="0" max="4" min="4" style="0" width="1.56"/>
    <col collapsed="false" customWidth="true" hidden="false" outlineLevel="0" max="5" min="5" style="0" width="9.14"/>
    <col collapsed="false" customWidth="true" hidden="false" outlineLevel="0" max="6" min="6" style="0" width="7.7"/>
    <col collapsed="false" customWidth="true" hidden="false" outlineLevel="0" max="7" min="7" style="0" width="13.15"/>
    <col collapsed="false" customWidth="true" hidden="false" outlineLevel="0" max="8" min="8" style="0" width="7.28"/>
    <col collapsed="false" customWidth="true" hidden="false" outlineLevel="0" max="9" min="9" style="0" width="23.99"/>
    <col collapsed="false" customWidth="true" hidden="false" outlineLevel="0" max="10" min="10" style="0" width="10.13"/>
    <col collapsed="false" customWidth="true" hidden="false" outlineLevel="0" max="11" min="11" style="0" width="31.15"/>
    <col collapsed="false" customWidth="true" hidden="false" outlineLevel="0" max="12" min="12" style="0" width="9.14"/>
  </cols>
  <sheetData>
    <row r="1" customFormat="false" ht="13.5" hidden="false" customHeight="true" outlineLevel="0" collapsed="false">
      <c r="A1" s="26"/>
      <c r="B1" s="12" t="s">
        <v>57</v>
      </c>
      <c r="C1" s="13" t="str">
        <f aca="false">Лист1!B14</f>
        <v>СВРЭС АО «ОЭК»</v>
      </c>
      <c r="D1" s="13"/>
      <c r="E1" s="13"/>
      <c r="F1" s="17"/>
      <c r="G1" s="14"/>
      <c r="H1" s="13"/>
      <c r="I1" s="13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</row>
    <row r="2" customFormat="false" ht="13.5" hidden="false" customHeight="true" outlineLevel="0" collapsed="false">
      <c r="A2" s="26"/>
      <c r="B2" s="12" t="s">
        <v>75</v>
      </c>
      <c r="C2" s="13" t="str">
        <f aca="false">Лист1!B15</f>
        <v>АНО «ОЭК Стройтрест»</v>
      </c>
      <c r="D2" s="13"/>
      <c r="E2" s="13"/>
      <c r="F2" s="17"/>
      <c r="G2" s="14"/>
      <c r="H2" s="13"/>
      <c r="I2" s="13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</row>
    <row r="3" customFormat="false" ht="59.25" hidden="false" customHeight="true" outlineLevel="0" collapsed="false">
      <c r="A3" s="26"/>
      <c r="B3" s="15" t="s">
        <v>59</v>
      </c>
      <c r="C3" s="16" t="str">
        <f aca="false">Лист1!B4</f>
        <v>Резервирование электроснабжения РП 70046</v>
      </c>
      <c r="D3" s="16"/>
      <c r="E3" s="16"/>
      <c r="F3" s="16"/>
      <c r="G3" s="16"/>
      <c r="H3" s="16"/>
      <c r="I3" s="16"/>
      <c r="J3" s="89"/>
      <c r="K3" s="89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3.5" hidden="false" customHeight="true" outlineLevel="0" collapsed="false">
      <c r="A4" s="26"/>
      <c r="B4" s="15" t="s">
        <v>60</v>
      </c>
      <c r="C4" s="90" t="str">
        <f aca="false">Лист1!B11</f>
        <v>«22» декабря 2025 г.</v>
      </c>
      <c r="D4" s="90"/>
      <c r="E4" s="90"/>
      <c r="F4" s="15"/>
      <c r="G4" s="91"/>
      <c r="H4" s="91"/>
      <c r="I4" s="91"/>
      <c r="J4" s="19"/>
      <c r="K4" s="19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</row>
    <row r="5" customFormat="false" ht="15.75" hidden="false" customHeight="true" outlineLevel="0" collapsed="false"/>
    <row r="6" customFormat="false" ht="15.75" hidden="false" customHeight="true" outlineLevel="0" collapsed="false">
      <c r="A6" s="23" t="s">
        <v>158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customFormat="false" ht="15.75" hidden="false" customHeight="true" outlineLevel="0" collapsed="false">
      <c r="A7" s="23" t="s">
        <v>159</v>
      </c>
      <c r="B7" s="23"/>
      <c r="C7" s="23"/>
      <c r="D7" s="23"/>
      <c r="E7" s="23"/>
      <c r="F7" s="23"/>
      <c r="G7" s="23"/>
      <c r="H7" s="23"/>
      <c r="I7" s="23"/>
      <c r="J7" s="23"/>
      <c r="K7" s="23"/>
    </row>
    <row r="8" customFormat="false" ht="15.75" hidden="false" customHeight="true" outlineLevel="0" collapsed="false">
      <c r="A8" s="26" t="s">
        <v>160</v>
      </c>
      <c r="B8" s="26"/>
      <c r="C8" s="31" t="str">
        <f aca="false">Лист1!B6</f>
        <v>ЗП № 5-5</v>
      </c>
      <c r="D8" s="26"/>
      <c r="E8" s="26"/>
      <c r="G8" s="26"/>
      <c r="H8" s="26"/>
      <c r="I8" s="26"/>
      <c r="J8" s="26"/>
      <c r="K8" s="26"/>
      <c r="P8" s="26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customFormat="false" ht="15.75" hidden="false" customHeight="true" outlineLevel="0" collapsed="false">
      <c r="A9" s="27" t="s">
        <v>161</v>
      </c>
      <c r="B9" s="92"/>
      <c r="C9" s="31" t="str">
        <f aca="false">Лист1!B5</f>
        <v>г. Москва, Огородный проезд, д. 11, стр. 5</v>
      </c>
      <c r="D9" s="92"/>
      <c r="E9" s="92"/>
      <c r="F9" s="92"/>
      <c r="G9" s="92"/>
      <c r="H9" s="92"/>
      <c r="I9" s="92"/>
      <c r="J9" s="92"/>
      <c r="K9" s="92"/>
    </row>
    <row r="10" customFormat="false" ht="15.75" hidden="false" customHeight="true" outlineLevel="0" collapsed="false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customFormat="false" ht="15.75" hidden="false" customHeight="true" outlineLevel="0" collapsed="false">
      <c r="A11" s="93" t="str">
        <f aca="false">Лист1!A31</f>
        <v>ЗП № 5-5</v>
      </c>
      <c r="B11" s="93"/>
      <c r="C11" s="93"/>
      <c r="D11" s="93"/>
      <c r="E11" s="93"/>
      <c r="F11" s="93"/>
      <c r="G11" s="93"/>
      <c r="H11" s="93"/>
      <c r="I11" s="93"/>
      <c r="J11" s="93"/>
      <c r="K11" s="93"/>
    </row>
    <row r="12" customFormat="false" ht="15.75" hidden="false" customHeight="true" outlineLevel="0" collapsed="false">
      <c r="A12" s="94" t="s">
        <v>162</v>
      </c>
      <c r="B12" s="95" t="s">
        <v>163</v>
      </c>
      <c r="C12" s="95"/>
      <c r="D12" s="95"/>
      <c r="E12" s="95"/>
      <c r="F12" s="95"/>
      <c r="G12" s="95"/>
      <c r="H12" s="95"/>
      <c r="I12" s="95"/>
      <c r="J12" s="93" t="s">
        <v>164</v>
      </c>
      <c r="K12" s="93" t="s">
        <v>165</v>
      </c>
    </row>
    <row r="13" customFormat="false" ht="29.25" hidden="false" customHeight="true" outlineLevel="0" collapsed="false">
      <c r="A13" s="96" t="n">
        <v>1</v>
      </c>
      <c r="B13" s="97" t="s">
        <v>166</v>
      </c>
      <c r="C13" s="98" t="str">
        <f aca="false">Лист1!B26</f>
        <v>Труба ЭЛЕКТРОПАЙП 225/170 - N 1250 F2 SDR 13,6</v>
      </c>
      <c r="D13" s="98"/>
      <c r="E13" s="98"/>
      <c r="F13" s="98"/>
      <c r="G13" s="98"/>
      <c r="H13" s="98"/>
      <c r="I13" s="98"/>
      <c r="J13" s="99" t="s">
        <v>167</v>
      </c>
      <c r="K13" s="100" t="n">
        <f aca="false">Лист1!E31</f>
        <v>389.34</v>
      </c>
    </row>
    <row r="14" customFormat="false" ht="15.75" hidden="false" customHeight="true" outlineLevel="0" collapsed="false">
      <c r="A14" s="101" t="n">
        <v>2</v>
      </c>
      <c r="B14" s="102" t="s">
        <v>168</v>
      </c>
      <c r="C14" s="102"/>
      <c r="D14" s="102"/>
      <c r="E14" s="102"/>
      <c r="F14" s="102"/>
      <c r="G14" s="102"/>
      <c r="H14" s="102"/>
      <c r="I14" s="102"/>
      <c r="J14" s="103" t="s">
        <v>167</v>
      </c>
      <c r="K14" s="100" t="n">
        <f aca="false">K13</f>
        <v>389.34</v>
      </c>
    </row>
    <row r="15" customFormat="false" ht="13.5" hidden="false" customHeight="true" outlineLevel="0" collapsed="false">
      <c r="A15" s="96" t="n">
        <v>3</v>
      </c>
      <c r="B15" s="104" t="s">
        <v>169</v>
      </c>
      <c r="C15" s="98" t="str">
        <f aca="false">Лист1!B27</f>
        <v>d=225</v>
      </c>
      <c r="D15" s="98"/>
      <c r="E15" s="98"/>
      <c r="F15" s="98"/>
      <c r="G15" s="98"/>
      <c r="H15" s="98"/>
      <c r="I15" s="98"/>
      <c r="J15" s="99" t="s">
        <v>170</v>
      </c>
      <c r="K15" s="105" t="n">
        <f aca="false">Лист1!D31*2</f>
        <v>4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customFormat="false" ht="15.75" hidden="false" customHeight="true" outlineLevel="0" collapsed="false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customFormat="false" ht="15.75" hidden="false" customHeight="true" outlineLevel="0" collapsed="false"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customFormat="false" ht="15.75" hidden="false" customHeight="true" outlineLevel="0" collapsed="false">
      <c r="A18" s="26"/>
      <c r="B18" s="26"/>
    </row>
    <row r="19" customFormat="false" ht="15.75" hidden="false" customHeight="true" outlineLevel="0" collapsed="false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</row>
    <row r="20" customFormat="false" ht="15.75" hidden="false" customHeight="true" outlineLevel="0" collapsed="false">
      <c r="A20" s="26" t="str">
        <f aca="false">Лист1!C23</f>
        <v>Главный специалист ОТН  Гайдуков Н.И.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customFormat="false" ht="15.75" hidden="false" customHeight="true" outlineLevel="0" collapsed="false">
      <c r="A21" s="26"/>
      <c r="B21" s="26"/>
    </row>
    <row r="22" customFormat="false" ht="15.75" hidden="false" customHeight="true" outlineLevel="0" collapsed="false">
      <c r="A22" s="26" t="str">
        <f aca="false">Лист1!C21</f>
        <v>Начальник участка  Буряк А.М.</v>
      </c>
      <c r="B22" s="26" t="str">
        <f aca="false">CONCATENATE("Строительство ",Лист1!B6," методом ГНБ")</f>
        <v>Строительство ЗП № 5-5 методом ГНБ</v>
      </c>
      <c r="C22" s="26"/>
      <c r="D22" s="26"/>
      <c r="E22" s="26"/>
      <c r="F22" s="26"/>
      <c r="G22" s="26"/>
      <c r="H22" s="26"/>
      <c r="I22" s="26"/>
      <c r="J22" s="26"/>
      <c r="K22" s="26"/>
    </row>
    <row r="23" customFormat="false" ht="15.75" hidden="false" customHeight="true" outlineLevel="0" collapsed="false">
      <c r="A23" s="26"/>
    </row>
    <row r="24" customFormat="false" ht="15.75" hidden="false" customHeight="true" outlineLevel="0" collapsed="false">
      <c r="A24" s="26" t="str">
        <f aca="false">Лист1!C20</f>
        <v>Мастер по ЭРС СВРЭС  Коробков Ю.Н.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customFormat="false" ht="15.75" hidden="false" customHeight="true" outlineLevel="0" collapsed="false"/>
    <row r="26" customFormat="false" ht="15.75" hidden="false" customHeight="true" outlineLevel="0" collapsed="false"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customFormat="false" ht="15.75" hidden="false" customHeight="true" outlineLevel="0" collapsed="false">
      <c r="A27" s="26"/>
      <c r="B27" s="26"/>
      <c r="C27" s="26"/>
      <c r="D27" s="26"/>
    </row>
    <row r="28" customFormat="false" ht="15.75" hidden="false" customHeight="true" outlineLevel="0" collapsed="false"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customFormat="false" ht="15.75" hidden="false" customHeight="true" outlineLevel="0" collapsed="false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15.75" hidden="false" customHeight="true" outlineLevel="0" collapsed="false"/>
    <row r="31" customFormat="false" ht="15.75" hidden="false" customHeight="true" outlineLevel="0" collapsed="false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customFormat="false" ht="15.75" hidden="false" customHeight="true" outlineLevel="0" collapsed="false"/>
    <row r="33" customFormat="false" ht="15.75" hidden="false" customHeight="true" outlineLevel="0" collapsed="false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customFormat="false" ht="15.75" hidden="false" customHeight="true" outlineLevel="0" collapsed="false"/>
    <row r="35" customFormat="false" ht="15.75" hidden="false" customHeight="true" outlineLevel="0" collapsed="false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</sheetData>
  <mergeCells count="12">
    <mergeCell ref="C3:I3"/>
    <mergeCell ref="C4:E4"/>
    <mergeCell ref="G4:I4"/>
    <mergeCell ref="A6:K6"/>
    <mergeCell ref="A7:K7"/>
    <mergeCell ref="A11:K11"/>
    <mergeCell ref="B12:I12"/>
    <mergeCell ref="C13:I13"/>
    <mergeCell ref="B14:I14"/>
    <mergeCell ref="C15:I15"/>
    <mergeCell ref="P15:Z15"/>
    <mergeCell ref="P17:Y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2026-03-05T14:36:23Z</dcterms:created>
  <dc:creator>openpyxl</dc:creator>
  <dc:description/>
  <dc:language>en-US</dc:language>
  <cp:lastModifiedBy/>
  <dcterms:modified xsi:type="dcterms:W3CDTF">2026-03-05T15:58:25Z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