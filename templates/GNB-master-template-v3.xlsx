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8_{C50CA4B7-48E6-4EE6-AEA4-B46B8C5E8ACE}" xr6:coauthVersionLast="47" xr6:coauthVersionMax="47" xr10:uidLastSave="{00000000-0000-0000-0000-000000000000}"/>
  <bookViews>
    <workbookView xWindow="1848" yWindow="1848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definedNames>
    <definedName name="_xlfn_SINGLE" localSheetId="14">none</definedName>
    <definedName name="_xlfn_SINGLE" localSheetId="15">none</definedName>
    <definedName name="_xlfn_SINGLE">none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5" i="15" l="1"/>
  <c r="A82" i="15"/>
  <c r="A79" i="15"/>
  <c r="A75" i="15"/>
  <c r="A72" i="15"/>
  <c r="A69" i="15"/>
  <c r="U55" i="15"/>
  <c r="P55" i="15"/>
  <c r="M55" i="15"/>
  <c r="U54" i="15"/>
  <c r="P54" i="15"/>
  <c r="M54" i="15"/>
  <c r="G52" i="15"/>
  <c r="A64" i="15" s="1"/>
  <c r="A63" i="14" s="1"/>
  <c r="A59" i="15"/>
  <c r="A49" i="15"/>
  <c r="A65" i="15" s="1"/>
  <c r="A46" i="15"/>
  <c r="O57" i="15" s="1"/>
  <c r="A43" i="15"/>
  <c r="AG18" i="15"/>
  <c r="AB18" i="15"/>
  <c r="Y18" i="15"/>
  <c r="C18" i="15"/>
  <c r="A39" i="15"/>
  <c r="A36" i="15"/>
  <c r="A30" i="15"/>
  <c r="A27" i="15"/>
  <c r="A24" i="15"/>
  <c r="A22" i="15"/>
  <c r="A13" i="15"/>
  <c r="A10" i="15"/>
  <c r="A7" i="15"/>
  <c r="A4" i="15"/>
  <c r="AG18" i="14"/>
  <c r="AB18" i="14"/>
  <c r="Y18" i="14"/>
  <c r="C18" i="14"/>
  <c r="A86" i="14"/>
  <c r="A83" i="14"/>
  <c r="A80" i="14"/>
  <c r="A76" i="14"/>
  <c r="A73" i="14"/>
  <c r="A70" i="14"/>
  <c r="A45" i="14"/>
  <c r="A39" i="14"/>
  <c r="A36" i="14"/>
  <c r="A30" i="14"/>
  <c r="A27" i="14"/>
  <c r="A24" i="14"/>
  <c r="A22" i="14"/>
  <c r="A13" i="14"/>
  <c r="A10" i="14"/>
  <c r="A7" i="14"/>
  <c r="A4" i="14"/>
  <c r="A41" i="14" s="1"/>
  <c r="E8" i="13"/>
  <c r="D8" i="13"/>
  <c r="C8" i="13"/>
  <c r="E7" i="13"/>
  <c r="D7" i="13"/>
  <c r="C7" i="13"/>
  <c r="E6" i="13"/>
  <c r="D6" i="13"/>
  <c r="C6" i="13"/>
  <c r="B5" i="13"/>
  <c r="B4" i="13"/>
  <c r="C3" i="13"/>
  <c r="B3" i="13"/>
  <c r="G31" i="1"/>
  <c r="F31" i="1"/>
  <c r="E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B16" i="1"/>
  <c r="B15" i="1"/>
  <c r="B14" i="1"/>
  <c r="B11" i="1"/>
  <c r="B10" i="1"/>
  <c r="B9" i="1"/>
  <c r="B8" i="1"/>
  <c r="B7" i="1"/>
  <c r="B6" i="1"/>
  <c r="B5" i="1"/>
  <c r="B4" i="1"/>
  <c r="B3" i="1"/>
  <c r="F6" i="8" s="1"/>
  <c r="A52" i="14" l="1"/>
  <c r="B8" i="13"/>
  <c r="B7" i="13"/>
  <c r="B6" i="13"/>
  <c r="K15" i="11"/>
  <c r="E19" i="4"/>
  <c r="H18" i="4"/>
  <c r="A11" i="11"/>
  <c r="D18" i="4"/>
  <c r="D20" i="4"/>
  <c r="D19" i="4"/>
  <c r="C15" i="11"/>
  <c r="E24" i="7"/>
  <c r="E22" i="3"/>
  <c r="C13" i="11"/>
  <c r="E24" i="10"/>
  <c r="E22" i="7"/>
  <c r="E25" i="5"/>
  <c r="D21" i="4"/>
  <c r="E22" i="9"/>
  <c r="B43" i="8"/>
  <c r="A17" i="5"/>
  <c r="C13" i="8"/>
  <c r="A13" i="10"/>
  <c r="C16" i="8"/>
  <c r="B45" i="8"/>
  <c r="A22" i="11"/>
  <c r="A37" i="9"/>
  <c r="A38" i="7"/>
  <c r="A35" i="6"/>
  <c r="A39" i="5"/>
  <c r="A34" i="4"/>
  <c r="A28" i="2"/>
  <c r="A39" i="10"/>
  <c r="A37" i="3"/>
  <c r="A12" i="9"/>
  <c r="A12" i="6"/>
  <c r="A12" i="4"/>
  <c r="A12" i="2"/>
  <c r="A12" i="10"/>
  <c r="B44" i="8"/>
  <c r="C15" i="8"/>
  <c r="A12" i="7"/>
  <c r="A12" i="5"/>
  <c r="A12" i="3"/>
  <c r="A24" i="11"/>
  <c r="A35" i="9"/>
  <c r="A36" i="7"/>
  <c r="A37" i="5"/>
  <c r="A35" i="3"/>
  <c r="A37" i="10"/>
  <c r="A33" i="6"/>
  <c r="A32" i="4"/>
  <c r="A11" i="10"/>
  <c r="A11" i="9"/>
  <c r="B42" i="8"/>
  <c r="C14" i="8"/>
  <c r="A11" i="7"/>
  <c r="A11" i="6"/>
  <c r="A11" i="5"/>
  <c r="A11" i="4"/>
  <c r="A11" i="3"/>
  <c r="D20" i="9"/>
  <c r="D22" i="10"/>
  <c r="D20" i="7"/>
  <c r="D20" i="6"/>
  <c r="D23" i="5"/>
  <c r="D20" i="3"/>
  <c r="A26" i="8"/>
  <c r="C2" i="11"/>
  <c r="C2" i="9"/>
  <c r="C2" i="6"/>
  <c r="C2" i="3"/>
  <c r="C2" i="2"/>
  <c r="C2" i="10"/>
  <c r="C2" i="7"/>
  <c r="C2" i="5"/>
  <c r="C2" i="4"/>
  <c r="C1" i="11"/>
  <c r="C1" i="10"/>
  <c r="C1" i="9"/>
  <c r="C1" i="7"/>
  <c r="C1" i="6"/>
  <c r="C1" i="5"/>
  <c r="C1" i="4"/>
  <c r="C1" i="3"/>
  <c r="C1" i="2"/>
  <c r="C4" i="9"/>
  <c r="C4" i="11"/>
  <c r="C4" i="10"/>
  <c r="G4" i="8"/>
  <c r="C4" i="7"/>
  <c r="C4" i="6"/>
  <c r="C4" i="5"/>
  <c r="C4" i="4"/>
  <c r="C4" i="3"/>
  <c r="C4" i="2"/>
  <c r="E14" i="10"/>
  <c r="E18" i="8"/>
  <c r="E14" i="6"/>
  <c r="E14" i="5"/>
  <c r="E14" i="9"/>
  <c r="E14" i="3"/>
  <c r="E14" i="7"/>
  <c r="D28" i="10"/>
  <c r="E33" i="8"/>
  <c r="D28" i="7"/>
  <c r="D24" i="6"/>
  <c r="D26" i="3"/>
  <c r="D26" i="9"/>
  <c r="D29" i="5"/>
  <c r="D26" i="10"/>
  <c r="E31" i="8"/>
  <c r="D22" i="6"/>
  <c r="D27" i="5"/>
  <c r="D24" i="9"/>
  <c r="D26" i="7"/>
  <c r="D24" i="3"/>
  <c r="H22" i="10"/>
  <c r="F24" i="8"/>
  <c r="H20" i="7"/>
  <c r="H20" i="6"/>
  <c r="H23" i="5"/>
  <c r="H20" i="3"/>
  <c r="H20" i="9"/>
  <c r="B22" i="11"/>
  <c r="F17" i="9"/>
  <c r="D17" i="7"/>
  <c r="E26" i="4"/>
  <c r="F17" i="3"/>
  <c r="J14" i="2"/>
  <c r="C8" i="11"/>
  <c r="E17" i="10"/>
  <c r="E15" i="5"/>
  <c r="A15" i="4"/>
  <c r="F21" i="2"/>
  <c r="F22" i="8"/>
  <c r="D17" i="6"/>
  <c r="C9" i="11"/>
  <c r="A18" i="6"/>
  <c r="D15" i="2"/>
  <c r="C18" i="10"/>
  <c r="C18" i="9"/>
  <c r="A11" i="8"/>
  <c r="C18" i="7"/>
  <c r="F15" i="4"/>
  <c r="C18" i="3"/>
  <c r="C3" i="11"/>
  <c r="C3" i="9"/>
  <c r="A9" i="8"/>
  <c r="C3" i="7"/>
  <c r="C3" i="6"/>
  <c r="C3" i="5"/>
  <c r="C3" i="4"/>
  <c r="C3" i="3"/>
  <c r="C3" i="10"/>
  <c r="C3" i="2"/>
  <c r="K13" i="11" l="1"/>
  <c r="K14" i="11" s="1"/>
  <c r="E20" i="4"/>
  <c r="H31" i="1"/>
  <c r="E20" i="10" s="1"/>
</calcChain>
</file>

<file path=xl/sharedStrings.xml><?xml version="1.0" encoding="utf-8"?>
<sst xmlns="http://schemas.openxmlformats.org/spreadsheetml/2006/main" count="799" uniqueCount="434">
  <si>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</si>
  <si>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</si>
  <si>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</si>
  <si>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</si>
  <si>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</si>
  <si>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</si>
  <si>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</si>
  <si>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</si>
  <si>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</si>
  <si>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</si>
  <si>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</si>
  <si>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</si>
  <si>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</si>
  <si>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</si>
  <si>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</si>
  <si>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</si>
  <si>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</si>
  <si>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</si>
  <si>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</si>
  <si>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</si>
  <si>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</si>
  <si>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</si>
  <si>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</si>
  <si>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</si>
  <si>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</si>
  <si>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</si>
  <si>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</si>
  <si>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</si>
  <si>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</si>
  <si>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</si>
  <si>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</si>
  <si>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</si>
  <si>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</si>
  <si>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</si>
  <si>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</si>
  <si>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</si>
  <si>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</si>
  <si>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</si>
  <si>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</si>
  <si>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</si>
  <si>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</si>
  <si>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</si>
  <si>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</si>
  <si>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</si>
  <si>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</si>
  <si>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</si>
  <si>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</si>
  <si>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</si>
  <si>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</si>
  <si>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</si>
  <si>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</si>
  <si>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</si>
  <si>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</si>
  <si>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</si>
  <si>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</si>
  <si>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</si>
  <si>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</si>
  <si>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</si>
  <si>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</si>
  <si>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</si>
  <si>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</si>
  <si>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</si>
  <si>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</si>
  <si>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</si>
  <si>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</si>
  <si>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</si>
  <si>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</si>
  <si>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</si>
  <si>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</si>
  <si>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</si>
  <si>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</si>
  <si>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</si>
  <si>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</si>
  <si>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</si>
  <si>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</si>
  <si>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</si>
  <si>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</si>
  <si>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</si>
  <si>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</si>
  <si>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</si>
  <si>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</si>
  <si>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</si>
  <si>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</si>
  <si>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</si>
  <si>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</si>
  <si>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</si>
  <si>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</si>
  <si>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</si>
  <si>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</si>
  <si>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</si>
  <si>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</si>
  <si>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</si>
  <si>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</si>
  <si>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</si>
  <si>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</si>
  <si>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</si>
  <si>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</si>
  <si>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</si>
  <si>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</si>
  <si>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</si>
  <si>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</si>
  <si>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</si>
  <si>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</si>
  <si>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</si>
  <si>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</si>
  <si>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</si>
  <si>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</si>
  <si>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</si>
  <si>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</si>
  <si>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</si>
  <si>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</si>
  <si>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</si>
  <si>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</si>
  <si>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</si>
  <si>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</si>
  <si>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</si>
  <si>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</si>
  <si>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</si>
  <si>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</si>
  <si>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</si>
  <si>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</si>
  <si>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</si>
  <si>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</si>
  <si>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</si>
  <si>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</si>
  <si>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</si>
  <si>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</si>
  <si>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</si>
  <si>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</si>
  <si>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</si>
  <si>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</si>
  <si>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</si>
  <si>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</si>
  <si>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</si>
  <si>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</si>
  <si>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</si>
  <si>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</si>
  <si>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</si>
  <si>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</si>
  <si>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</si>
  <si>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</si>
  <si>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</si>
  <si>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</si>
  <si>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</si>
  <si>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</si>
  <si>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</si>
  <si>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</si>
  <si>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</si>
  <si>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</si>
  <si>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</si>
  <si>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</si>
  <si>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</si>
  <si>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</si>
  <si>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</si>
  <si>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</si>
  <si>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</si>
  <si>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</si>
  <si>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</si>
  <si>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</si>
  <si>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</si>
  <si>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</si>
  <si>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</si>
  <si>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</si>
  <si>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</si>
  <si>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</si>
  <si>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</si>
  <si>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</si>
  <si>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</si>
  <si>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</si>
  <si>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</si>
  <si>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</si>
  <si>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GNB master template: internal acts + AOSR</t>
  </si>
  <si>
    <t>What is inside:
1. Sheets 02-12 = internal acts workbook.
2. Sheets 13-15 = AOSR workbook.
3. This file is a master template for unification and future move to one data layer.
4. It is not wired into runtime yet.
How to use:
- print selected sheets/pages as needed;
- keep this workbook as the analysis and redesign base.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</si>
  <si>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</si>
  <si>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</si>
  <si>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</si>
  <si>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</si>
  <si>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</si>
  <si>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</si>
  <si>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</si>
  <si>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</si>
  <si>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</si>
  <si>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</si>
  <si>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</si>
  <si>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</si>
  <si>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</si>
  <si>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</si>
  <si>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</si>
  <si>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</si>
  <si>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</si>
  <si>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</si>
  <si>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</si>
  <si>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</si>
  <si>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</si>
  <si>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</si>
  <si>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</si>
  <si>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</si>
  <si>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</si>
  <si>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</si>
  <si>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</si>
  <si>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</si>
  <si>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</si>
  <si>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</si>
  <si>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</si>
  <si>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</si>
  <si>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</si>
  <si>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</si>
  <si>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</si>
  <si>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</si>
  <si>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</si>
  <si>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</si>
  <si>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</si>
  <si>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</si>
  <si>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</si>
  <si>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</si>
  <si>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</si>
  <si>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</si>
  <si>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</si>
  <si>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</si>
  <si>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</si>
  <si>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</si>
  <si>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</si>
  <si>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</si>
  <si>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</si>
  <si>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</si>
  <si>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</si>
  <si>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</si>
  <si>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</si>
  <si>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</si>
  <si>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</si>
  <si>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</si>
  <si>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</si>
  <si>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</si>
  <si>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</si>
  <si>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</si>
  <si>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</si>
  <si>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</si>
  <si>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</si>
  <si>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</si>
  <si>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</si>
  <si>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</si>
  <si>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</si>
  <si>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</si>
  <si>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</si>
  <si>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</si>
  <si>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</si>
  <si>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</si>
  <si>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</si>
  <si>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</si>
  <si>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</si>
  <si>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</si>
  <si>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</si>
  <si>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</si>
  <si>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</si>
  <si>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</si>
  <si>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</si>
  <si>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</si>
  <si>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</si>
  <si>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</si>
  <si>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</si>
  <si>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</si>
  <si>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</si>
  <si>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</si>
  <si>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</si>
  <si>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</si>
  <si>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</si>
  <si>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</si>
  <si>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</si>
  <si>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</si>
  <si>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</si>
  <si>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</si>
  <si>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</si>
  <si>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</si>
  <si>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</si>
  <si>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</si>
  <si>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</si>
  <si>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</si>
  <si>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</si>
  <si>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</si>
  <si>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</si>
  <si>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</si>
  <si>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</si>
  <si>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</si>
  <si>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</si>
  <si>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</si>
  <si>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</si>
  <si>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</si>
  <si>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</si>
  <si>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</si>
  <si>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</si>
  <si>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</si>
  <si>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</si>
  <si>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</si>
  <si>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</si>
  <si>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</si>
  <si>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</si>
  <si>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</si>
  <si>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</si>
  <si>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</si>
  <si>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</si>
  <si>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</si>
  <si>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</si>
  <si>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</si>
  <si>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</si>
  <si>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</si>
  <si>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</si>
  <si>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</si>
  <si>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</si>
  <si>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</si>
  <si>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</si>
  <si>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</si>
  <si>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</si>
  <si>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</si>
  <si>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</si>
  <si>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</si>
  <si>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</si>
  <si>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</si>
  <si>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</si>
  <si>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</si>
  <si>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</si>
  <si>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</si>
  <si>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</si>
  <si>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</si>
  <si>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</si>
  <si>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</si>
  <si>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</si>
  <si>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</si>
  <si>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</si>
  <si>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</si>
  <si>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</si>
  <si>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</si>
  <si>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</si>
  <si>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</si>
  <si>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</si>
  <si>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</si>
  <si>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</si>
  <si>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</si>
  <si>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</si>
  <si>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</si>
  <si>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</si>
  <si>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</si>
  <si>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</si>
  <si>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</si>
  <si>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</si>
  <si>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</si>
  <si>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</si>
  <si>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</si>
  <si>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</si>
  <si>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</si>
  <si>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</si>
  <si>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</si>
  <si>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</si>
  <si>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</si>
  <si>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</si>
  <si>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</si>
  <si>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</si>
  <si>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</si>
  <si>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</si>
  <si>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</si>
  <si>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</si>
  <si>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</si>
  <si>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</si>
  <si>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</si>
  <si>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</si>
  <si>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</si>
  <si>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</si>
  <si>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</si>
  <si>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</si>
  <si>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</si>
  <si>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</si>
  <si>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</si>
  <si>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</si>
  <si>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</si>
  <si>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</si>
  <si>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</si>
  <si>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</si>
  <si>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</si>
  <si>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</si>
  <si>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</si>
  <si>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</si>
  <si>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</si>
  <si>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</si>
  <si>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</si>
  <si>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</si>
  <si>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</si>
  <si>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</si>
  <si>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</si>
  <si>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</si>
  <si>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</si>
  <si>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</si>
  <si>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</si>
  <si>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</si>
  <si>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</si>
  <si>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</si>
  <si>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</si>
  <si>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</si>
  <si>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</si>
  <si>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</si>
  <si>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</si>
  <si>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</si>
  <si>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</si>
  <si>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</si>
  <si>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</si>
  <si>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</si>
  <si>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</si>
  <si>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</si>
  <si>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</si>
  <si>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</si>
  <si>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</si>
  <si>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</si>
  <si>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</si>
  <si>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</si>
  <si>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</si>
  <si>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</si>
  <si>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</si>
  <si>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</si>
  <si>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</si>
  <si>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</si>
  <si>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</si>
  <si>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</si>
  <si>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</si>
  <si>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</si>
  <si>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</si>
  <si>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</si>
  <si>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</si>
  <si>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1 (ЗП ГНБ №)</t>
  </si>
  <si>
    <t>2 (ЗП ГНБ №)</t>
  </si>
  <si>
    <t xml:space="preserve">Закрытого перехода методом ГНБ № по адресу: </t>
  </si>
  <si>
    <t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t>
  </si>
  <si>
    <t>Исполнительный чертеж ЗП № (по адресу: )</t>
  </si>
  <si>
    <t>РїРµСЂРµС…РѕРґ в</t>
  </si>
  <si>
    <t>РђРґСЂРµСЃ</t>
  </si>
  <si>
    <t>Р</t>
  </si>
  <si>
    <t>=IFERROR(IF(LEN(INDEX('00 DATA'!$B:$B,MATCH("gnb_number_short",'00 DATA'!$A:$A,0))&amp;"")=0,"",INDEX('00 DATA'!$B:$B,MATCH("gnb_number_short",'00 DATA'!$A:$A,0))),"")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</si>
</sst>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righ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17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/>
    </xf>
    <xf numFmtId="0" fontId="27" fillId="0" borderId="3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0" xfId="1" applyFont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36" fillId="0" borderId="3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left" vertical="center" wrapText="1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/>
    </xf>
    <xf numFmtId="0" fontId="27" fillId="0" borderId="4" xfId="1" applyFont="1" applyBorder="1" applyAlignment="1">
      <alignment horizontal="center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dimension ref="A1:G60"/>
  <sheetViews>
    <sheetView tabSelected="1"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253</v>
      </c>
      <c r="B1" s="103" t="s">
        <v>393</v>
      </c>
      <c r="C1" s="103" t="s">
        <v>254</v>
      </c>
      <c r="D1" s="103" t="s">
        <v>255</v>
      </c>
      <c r="E1" s="103" t="s">
        <v>256</v>
      </c>
      <c r="F1" s="103" t="s">
        <v>257</v>
      </c>
      <c r="G1" s="103" t="s">
        <v>258</v>
      </c>
    </row>
    <row r="2" spans="1:7" x14ac:dyDescent="0.3">
      <c r="A2" t="s">
        <v>259</v>
      </c>
      <c r="B2" t="s">
        <v>9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</row>
    <row r="3" spans="1:7" x14ac:dyDescent="0.3">
      <c r="A3" t="s">
        <v>265</v>
      </c>
      <c r="C3" t="s">
        <v>260</v>
      </c>
      <c r="D3" t="s">
        <v>261</v>
      </c>
      <c r="E3" t="s">
        <v>266</v>
      </c>
      <c r="F3" t="s">
        <v>267</v>
      </c>
      <c r="G3" t="s">
        <v>268</v>
      </c>
    </row>
    <row r="4" spans="1:7" x14ac:dyDescent="0.3">
      <c r="A4" t="s">
        <v>269</v>
      </c>
      <c r="B4" t="s">
        <v>3</v>
      </c>
      <c r="C4" t="s">
        <v>260</v>
      </c>
      <c r="D4" t="s">
        <v>261</v>
      </c>
      <c r="E4" t="s">
        <v>270</v>
      </c>
      <c r="F4" t="s">
        <v>271</v>
      </c>
      <c r="G4" t="s">
        <v>272</v>
      </c>
    </row>
    <row r="5" spans="1:7" x14ac:dyDescent="0.3">
      <c r="A5" t="s">
        <v>273</v>
      </c>
      <c r="B5" t="s">
        <v>5</v>
      </c>
      <c r="C5" t="s">
        <v>260</v>
      </c>
      <c r="D5" t="s">
        <v>261</v>
      </c>
      <c r="E5" t="s">
        <v>274</v>
      </c>
      <c r="F5" t="s">
        <v>266</v>
      </c>
      <c r="G5" t="s">
        <v>275</v>
      </c>
    </row>
    <row r="6" spans="1:7" x14ac:dyDescent="0.3">
      <c r="A6" t="s">
        <v>276</v>
      </c>
      <c r="B6" t="s">
        <v>7</v>
      </c>
      <c r="C6" t="s">
        <v>260</v>
      </c>
      <c r="D6" t="s">
        <v>261</v>
      </c>
      <c r="E6" t="s">
        <v>277</v>
      </c>
      <c r="F6" t="s">
        <v>277</v>
      </c>
      <c r="G6" t="s">
        <v>278</v>
      </c>
    </row>
    <row r="7" spans="1:7" x14ac:dyDescent="0.3">
      <c r="A7" t="s">
        <v>279</v>
      </c>
      <c r="B7" t="s">
        <v>11</v>
      </c>
      <c r="C7" t="s">
        <v>260</v>
      </c>
      <c r="D7" t="s">
        <v>261</v>
      </c>
      <c r="E7" t="s">
        <v>280</v>
      </c>
      <c r="F7" t="s">
        <v>281</v>
      </c>
      <c r="G7" t="s">
        <v>282</v>
      </c>
    </row>
    <row r="8" spans="1:7" x14ac:dyDescent="0.3">
      <c r="A8" t="s">
        <v>394</v>
      </c>
      <c r="C8" t="s">
        <v>260</v>
      </c>
      <c r="D8" t="s">
        <v>307</v>
      </c>
      <c r="E8" t="s">
        <v>266</v>
      </c>
      <c r="F8" t="s">
        <v>281</v>
      </c>
      <c r="G8" t="s">
        <v>395</v>
      </c>
    </row>
    <row r="9" spans="1:7" x14ac:dyDescent="0.3">
      <c r="A9" t="s">
        <v>283</v>
      </c>
      <c r="B9" t="s">
        <v>17</v>
      </c>
      <c r="C9" t="s">
        <v>260</v>
      </c>
      <c r="D9" t="s">
        <v>261</v>
      </c>
      <c r="E9" t="s">
        <v>284</v>
      </c>
      <c r="F9" t="s">
        <v>266</v>
      </c>
      <c r="G9" t="s">
        <v>285</v>
      </c>
    </row>
    <row r="10" spans="1:7" x14ac:dyDescent="0.3">
      <c r="A10" t="s">
        <v>286</v>
      </c>
      <c r="C10" t="s">
        <v>287</v>
      </c>
      <c r="D10" t="s">
        <v>261</v>
      </c>
      <c r="E10" t="s">
        <v>266</v>
      </c>
      <c r="F10" t="s">
        <v>288</v>
      </c>
      <c r="G10" t="s">
        <v>289</v>
      </c>
    </row>
    <row r="11" spans="1:7" x14ac:dyDescent="0.3">
      <c r="A11" t="s">
        <v>290</v>
      </c>
      <c r="C11" t="s">
        <v>287</v>
      </c>
      <c r="D11" t="s">
        <v>261</v>
      </c>
      <c r="E11" t="s">
        <v>266</v>
      </c>
      <c r="F11" t="s">
        <v>291</v>
      </c>
      <c r="G11" t="s">
        <v>289</v>
      </c>
    </row>
    <row r="12" spans="1:7" x14ac:dyDescent="0.3">
      <c r="A12" t="s">
        <v>292</v>
      </c>
      <c r="C12" t="s">
        <v>287</v>
      </c>
      <c r="D12" t="s">
        <v>261</v>
      </c>
      <c r="E12" t="s">
        <v>266</v>
      </c>
      <c r="F12" t="s">
        <v>293</v>
      </c>
      <c r="G12" t="s">
        <v>289</v>
      </c>
    </row>
    <row r="13" spans="1:7" x14ac:dyDescent="0.3">
      <c r="A13" t="s">
        <v>294</v>
      </c>
      <c r="C13" t="s">
        <v>287</v>
      </c>
      <c r="D13" t="s">
        <v>261</v>
      </c>
      <c r="E13" t="s">
        <v>266</v>
      </c>
      <c r="F13" t="s">
        <v>295</v>
      </c>
      <c r="G13" t="s">
        <v>289</v>
      </c>
    </row>
    <row r="14" spans="1:7" x14ac:dyDescent="0.3">
      <c r="A14" t="s">
        <v>296</v>
      </c>
      <c r="C14" t="s">
        <v>287</v>
      </c>
      <c r="D14" t="s">
        <v>261</v>
      </c>
      <c r="E14" t="s">
        <v>266</v>
      </c>
      <c r="F14" t="s">
        <v>297</v>
      </c>
      <c r="G14" t="s">
        <v>289</v>
      </c>
    </row>
    <row r="15" spans="1:7" x14ac:dyDescent="0.3">
      <c r="A15" t="s">
        <v>298</v>
      </c>
      <c r="C15" t="s">
        <v>287</v>
      </c>
      <c r="D15" t="s">
        <v>261</v>
      </c>
      <c r="E15" t="s">
        <v>266</v>
      </c>
      <c r="F15" t="s">
        <v>299</v>
      </c>
      <c r="G15" t="s">
        <v>289</v>
      </c>
    </row>
    <row r="16" spans="1:7" x14ac:dyDescent="0.3">
      <c r="A16" t="s">
        <v>300</v>
      </c>
      <c r="C16" t="s">
        <v>287</v>
      </c>
      <c r="D16" t="s">
        <v>261</v>
      </c>
      <c r="E16" t="s">
        <v>266</v>
      </c>
      <c r="F16" t="s">
        <v>301</v>
      </c>
      <c r="G16" t="s">
        <v>289</v>
      </c>
    </row>
    <row r="17" spans="1:7" x14ac:dyDescent="0.3">
      <c r="A17" t="s">
        <v>302</v>
      </c>
      <c r="C17" t="s">
        <v>287</v>
      </c>
      <c r="D17" t="s">
        <v>261</v>
      </c>
      <c r="E17" t="s">
        <v>266</v>
      </c>
      <c r="F17" t="s">
        <v>303</v>
      </c>
      <c r="G17" t="s">
        <v>289</v>
      </c>
    </row>
    <row r="18" spans="1:7" x14ac:dyDescent="0.3">
      <c r="A18" t="s">
        <v>304</v>
      </c>
      <c r="C18" t="s">
        <v>287</v>
      </c>
      <c r="D18" t="s">
        <v>261</v>
      </c>
      <c r="E18" t="s">
        <v>266</v>
      </c>
      <c r="F18" t="s">
        <v>305</v>
      </c>
      <c r="G18" t="s">
        <v>289</v>
      </c>
    </row>
    <row r="19" spans="1:7" x14ac:dyDescent="0.3">
      <c r="A19" t="s">
        <v>306</v>
      </c>
      <c r="B19" t="s">
        <v>13</v>
      </c>
      <c r="C19" t="s">
        <v>287</v>
      </c>
      <c r="D19" t="s">
        <v>307</v>
      </c>
      <c r="E19" t="s">
        <v>308</v>
      </c>
      <c r="F19" t="s">
        <v>266</v>
      </c>
      <c r="G19" t="s">
        <v>309</v>
      </c>
    </row>
    <row r="20" spans="1:7" x14ac:dyDescent="0.3">
      <c r="A20" t="s">
        <v>310</v>
      </c>
      <c r="B20" t="s">
        <v>15</v>
      </c>
      <c r="C20" t="s">
        <v>287</v>
      </c>
      <c r="D20" t="s">
        <v>307</v>
      </c>
      <c r="E20" t="s">
        <v>311</v>
      </c>
      <c r="F20" t="s">
        <v>266</v>
      </c>
      <c r="G20" t="s">
        <v>309</v>
      </c>
    </row>
    <row r="21" spans="1:7" x14ac:dyDescent="0.3">
      <c r="A21" t="s">
        <v>312</v>
      </c>
      <c r="B21" t="s">
        <v>15</v>
      </c>
      <c r="C21" t="s">
        <v>287</v>
      </c>
      <c r="D21" t="s">
        <v>307</v>
      </c>
      <c r="E21" t="s">
        <v>313</v>
      </c>
      <c r="F21" t="s">
        <v>266</v>
      </c>
      <c r="G21" t="s">
        <v>309</v>
      </c>
    </row>
    <row r="22" spans="1:7" x14ac:dyDescent="0.3">
      <c r="A22" t="s">
        <v>314</v>
      </c>
      <c r="B22" t="s">
        <v>21</v>
      </c>
      <c r="C22" t="s">
        <v>315</v>
      </c>
      <c r="D22" t="s">
        <v>307</v>
      </c>
      <c r="E22" t="s">
        <v>316</v>
      </c>
      <c r="F22" t="s">
        <v>266</v>
      </c>
      <c r="G22" t="s">
        <v>317</v>
      </c>
    </row>
    <row r="23" spans="1:7" x14ac:dyDescent="0.3">
      <c r="A23" t="s">
        <v>318</v>
      </c>
      <c r="C23" t="s">
        <v>315</v>
      </c>
      <c r="D23" t="s">
        <v>307</v>
      </c>
      <c r="E23" t="s">
        <v>266</v>
      </c>
      <c r="F23" t="s">
        <v>319</v>
      </c>
      <c r="G23" t="s">
        <v>320</v>
      </c>
    </row>
    <row r="24" spans="1:7" x14ac:dyDescent="0.3">
      <c r="A24" t="s">
        <v>321</v>
      </c>
      <c r="B24" t="s">
        <v>17</v>
      </c>
      <c r="C24" t="s">
        <v>315</v>
      </c>
      <c r="D24" t="s">
        <v>307</v>
      </c>
      <c r="E24" t="s">
        <v>322</v>
      </c>
      <c r="F24" t="s">
        <v>266</v>
      </c>
      <c r="G24" t="s">
        <v>323</v>
      </c>
    </row>
    <row r="25" spans="1:7" x14ac:dyDescent="0.3">
      <c r="A25" t="s">
        <v>324</v>
      </c>
      <c r="C25" t="s">
        <v>315</v>
      </c>
      <c r="D25" t="s">
        <v>307</v>
      </c>
      <c r="E25" t="s">
        <v>266</v>
      </c>
      <c r="F25" t="s">
        <v>325</v>
      </c>
      <c r="G25" t="s">
        <v>320</v>
      </c>
    </row>
    <row r="26" spans="1:7" x14ac:dyDescent="0.3">
      <c r="A26" t="s">
        <v>326</v>
      </c>
      <c r="B26" t="s">
        <v>24</v>
      </c>
      <c r="C26" t="s">
        <v>315</v>
      </c>
      <c r="D26" t="s">
        <v>307</v>
      </c>
      <c r="E26" t="s">
        <v>327</v>
      </c>
      <c r="F26" t="s">
        <v>266</v>
      </c>
      <c r="G26" t="s">
        <v>323</v>
      </c>
    </row>
    <row r="27" spans="1:7" x14ac:dyDescent="0.3">
      <c r="A27" t="s">
        <v>328</v>
      </c>
      <c r="C27" t="s">
        <v>315</v>
      </c>
      <c r="D27" t="s">
        <v>307</v>
      </c>
      <c r="E27" t="s">
        <v>266</v>
      </c>
      <c r="F27" t="s">
        <v>329</v>
      </c>
      <c r="G27" t="s">
        <v>320</v>
      </c>
    </row>
    <row r="28" spans="1:7" x14ac:dyDescent="0.3">
      <c r="A28" t="s">
        <v>330</v>
      </c>
      <c r="B28" t="s">
        <v>30</v>
      </c>
      <c r="C28" t="s">
        <v>331</v>
      </c>
      <c r="D28" t="s">
        <v>307</v>
      </c>
      <c r="E28" t="s">
        <v>332</v>
      </c>
      <c r="F28" t="s">
        <v>266</v>
      </c>
      <c r="G28" t="s">
        <v>333</v>
      </c>
    </row>
    <row r="29" spans="1:7" x14ac:dyDescent="0.3">
      <c r="A29" t="s">
        <v>334</v>
      </c>
      <c r="B29" t="s">
        <v>31</v>
      </c>
      <c r="C29" t="s">
        <v>331</v>
      </c>
      <c r="D29" t="s">
        <v>307</v>
      </c>
      <c r="E29" t="s">
        <v>335</v>
      </c>
      <c r="F29" t="s">
        <v>266</v>
      </c>
      <c r="G29" t="s">
        <v>336</v>
      </c>
    </row>
    <row r="30" spans="1:7" x14ac:dyDescent="0.3">
      <c r="A30" t="s">
        <v>337</v>
      </c>
      <c r="C30" t="s">
        <v>331</v>
      </c>
      <c r="D30" t="s">
        <v>307</v>
      </c>
      <c r="E30" t="s">
        <v>266</v>
      </c>
      <c r="F30" t="s">
        <v>338</v>
      </c>
      <c r="G30" t="s">
        <v>339</v>
      </c>
    </row>
    <row r="31" spans="1:7" x14ac:dyDescent="0.3">
      <c r="A31" t="s">
        <v>396</v>
      </c>
      <c r="C31" t="s">
        <v>331</v>
      </c>
      <c r="D31" t="s">
        <v>307</v>
      </c>
      <c r="E31" t="s">
        <v>266</v>
      </c>
      <c r="F31" t="s">
        <v>397</v>
      </c>
      <c r="G31" t="s">
        <v>398</v>
      </c>
    </row>
    <row r="32" spans="1:7" x14ac:dyDescent="0.3">
      <c r="A32" t="s">
        <v>340</v>
      </c>
      <c r="B32" t="s">
        <v>33</v>
      </c>
      <c r="C32" t="s">
        <v>331</v>
      </c>
      <c r="D32" t="s">
        <v>307</v>
      </c>
      <c r="E32" t="s">
        <v>341</v>
      </c>
      <c r="F32" t="s">
        <v>266</v>
      </c>
      <c r="G32" t="s">
        <v>333</v>
      </c>
    </row>
    <row r="33" spans="1:7" x14ac:dyDescent="0.3">
      <c r="A33" t="s">
        <v>342</v>
      </c>
      <c r="B33" t="s">
        <v>34</v>
      </c>
      <c r="C33" t="s">
        <v>331</v>
      </c>
      <c r="D33" t="s">
        <v>307</v>
      </c>
      <c r="E33" t="s">
        <v>343</v>
      </c>
      <c r="F33" t="s">
        <v>266</v>
      </c>
      <c r="G33" t="s">
        <v>336</v>
      </c>
    </row>
    <row r="34" spans="1:7" x14ac:dyDescent="0.3">
      <c r="A34" t="s">
        <v>344</v>
      </c>
      <c r="C34" t="s">
        <v>331</v>
      </c>
      <c r="D34" t="s">
        <v>307</v>
      </c>
      <c r="E34" t="s">
        <v>266</v>
      </c>
      <c r="F34" t="s">
        <v>345</v>
      </c>
      <c r="G34" t="s">
        <v>339</v>
      </c>
    </row>
    <row r="35" spans="1:7" x14ac:dyDescent="0.3">
      <c r="A35" t="s">
        <v>399</v>
      </c>
      <c r="C35" t="s">
        <v>331</v>
      </c>
      <c r="D35" t="s">
        <v>307</v>
      </c>
      <c r="E35" t="s">
        <v>266</v>
      </c>
      <c r="F35" t="s">
        <v>400</v>
      </c>
      <c r="G35" t="s">
        <v>398</v>
      </c>
    </row>
    <row r="36" spans="1:7" x14ac:dyDescent="0.3">
      <c r="A36" t="s">
        <v>346</v>
      </c>
      <c r="B36" t="s">
        <v>36</v>
      </c>
      <c r="C36" t="s">
        <v>331</v>
      </c>
      <c r="D36" t="s">
        <v>307</v>
      </c>
      <c r="E36" t="s">
        <v>347</v>
      </c>
      <c r="F36" t="s">
        <v>266</v>
      </c>
      <c r="G36" t="s">
        <v>348</v>
      </c>
    </row>
    <row r="37" spans="1:7" x14ac:dyDescent="0.3">
      <c r="A37" t="s">
        <v>349</v>
      </c>
      <c r="B37" t="s">
        <v>37</v>
      </c>
      <c r="C37" t="s">
        <v>331</v>
      </c>
      <c r="D37" t="s">
        <v>307</v>
      </c>
      <c r="E37" t="s">
        <v>350</v>
      </c>
      <c r="F37" t="s">
        <v>266</v>
      </c>
      <c r="G37" t="s">
        <v>351</v>
      </c>
    </row>
    <row r="38" spans="1:7" x14ac:dyDescent="0.3">
      <c r="A38" t="s">
        <v>352</v>
      </c>
      <c r="C38" t="s">
        <v>331</v>
      </c>
      <c r="D38" t="s">
        <v>307</v>
      </c>
      <c r="E38" t="s">
        <v>266</v>
      </c>
      <c r="F38" t="s">
        <v>353</v>
      </c>
      <c r="G38" t="s">
        <v>339</v>
      </c>
    </row>
    <row r="39" spans="1:7" x14ac:dyDescent="0.3">
      <c r="A39" t="s">
        <v>401</v>
      </c>
      <c r="C39" t="s">
        <v>331</v>
      </c>
      <c r="D39" t="s">
        <v>307</v>
      </c>
      <c r="E39" t="s">
        <v>266</v>
      </c>
      <c r="F39" t="s">
        <v>402</v>
      </c>
      <c r="G39" t="s">
        <v>403</v>
      </c>
    </row>
    <row r="40" spans="1:7" x14ac:dyDescent="0.3">
      <c r="A40" t="s">
        <v>404</v>
      </c>
      <c r="C40" t="s">
        <v>331</v>
      </c>
      <c r="D40" t="s">
        <v>307</v>
      </c>
      <c r="E40" t="s">
        <v>266</v>
      </c>
      <c r="F40" t="s">
        <v>405</v>
      </c>
      <c r="G40" t="s">
        <v>398</v>
      </c>
    </row>
    <row r="41" spans="1:7" x14ac:dyDescent="0.3">
      <c r="A41" t="s">
        <v>354</v>
      </c>
      <c r="B41" t="s">
        <v>39</v>
      </c>
      <c r="C41" t="s">
        <v>331</v>
      </c>
      <c r="D41" t="s">
        <v>307</v>
      </c>
      <c r="E41" t="s">
        <v>355</v>
      </c>
      <c r="F41" t="s">
        <v>266</v>
      </c>
      <c r="G41" t="s">
        <v>333</v>
      </c>
    </row>
    <row r="42" spans="1:7" x14ac:dyDescent="0.3">
      <c r="A42" t="s">
        <v>356</v>
      </c>
      <c r="B42" t="s">
        <v>36</v>
      </c>
      <c r="C42" t="s">
        <v>331</v>
      </c>
      <c r="D42" t="s">
        <v>307</v>
      </c>
      <c r="E42" t="s">
        <v>357</v>
      </c>
      <c r="F42" t="s">
        <v>266</v>
      </c>
      <c r="G42" t="s">
        <v>336</v>
      </c>
    </row>
    <row r="43" spans="1:7" x14ac:dyDescent="0.3">
      <c r="A43" t="s">
        <v>358</v>
      </c>
      <c r="C43" t="s">
        <v>331</v>
      </c>
      <c r="D43" t="s">
        <v>307</v>
      </c>
      <c r="E43" t="s">
        <v>266</v>
      </c>
      <c r="F43" t="s">
        <v>359</v>
      </c>
      <c r="G43" t="s">
        <v>339</v>
      </c>
    </row>
    <row r="44" spans="1:7" x14ac:dyDescent="0.3">
      <c r="A44" t="s">
        <v>406</v>
      </c>
      <c r="C44" t="s">
        <v>331</v>
      </c>
      <c r="D44" t="s">
        <v>307</v>
      </c>
      <c r="E44" t="s">
        <v>266</v>
      </c>
      <c r="F44" t="s">
        <v>407</v>
      </c>
      <c r="G44" t="s">
        <v>398</v>
      </c>
    </row>
    <row r="45" spans="1:7" x14ac:dyDescent="0.3">
      <c r="A45" t="s">
        <v>408</v>
      </c>
      <c r="C45" t="s">
        <v>331</v>
      </c>
      <c r="D45" t="s">
        <v>307</v>
      </c>
      <c r="E45" t="s">
        <v>266</v>
      </c>
      <c r="F45" t="s">
        <v>409</v>
      </c>
      <c r="G45" t="s">
        <v>410</v>
      </c>
    </row>
    <row r="46" spans="1:7" x14ac:dyDescent="0.3">
      <c r="A46" t="s">
        <v>360</v>
      </c>
      <c r="B46" t="s">
        <v>43</v>
      </c>
      <c r="C46" t="s">
        <v>361</v>
      </c>
      <c r="D46" t="s">
        <v>261</v>
      </c>
      <c r="E46" t="s">
        <v>362</v>
      </c>
      <c r="F46" t="s">
        <v>363</v>
      </c>
      <c r="G46" t="s">
        <v>364</v>
      </c>
    </row>
    <row r="47" spans="1:7" x14ac:dyDescent="0.3">
      <c r="A47" t="s">
        <v>365</v>
      </c>
      <c r="B47" t="s">
        <v>45</v>
      </c>
      <c r="C47" t="s">
        <v>361</v>
      </c>
      <c r="D47" t="s">
        <v>307</v>
      </c>
      <c r="E47" t="s">
        <v>366</v>
      </c>
      <c r="F47" t="s">
        <v>266</v>
      </c>
      <c r="G47" t="s">
        <v>367</v>
      </c>
    </row>
    <row r="48" spans="1:7" x14ac:dyDescent="0.3">
      <c r="A48" t="s">
        <v>368</v>
      </c>
      <c r="B48">
        <v>42.96</v>
      </c>
      <c r="C48" t="s">
        <v>369</v>
      </c>
      <c r="D48" t="s">
        <v>261</v>
      </c>
      <c r="E48" t="s">
        <v>370</v>
      </c>
      <c r="F48" t="s">
        <v>270</v>
      </c>
      <c r="G48" t="s">
        <v>278</v>
      </c>
    </row>
    <row r="49" spans="1:7" x14ac:dyDescent="0.3">
      <c r="A49" t="s">
        <v>371</v>
      </c>
      <c r="B49">
        <v>40.81</v>
      </c>
      <c r="C49" t="s">
        <v>369</v>
      </c>
      <c r="D49" t="s">
        <v>261</v>
      </c>
      <c r="E49" t="s">
        <v>372</v>
      </c>
      <c r="F49" t="s">
        <v>266</v>
      </c>
      <c r="G49" t="s">
        <v>373</v>
      </c>
    </row>
    <row r="50" spans="1:7" x14ac:dyDescent="0.3">
      <c r="A50" t="s">
        <v>374</v>
      </c>
      <c r="B50">
        <v>2</v>
      </c>
      <c r="C50" t="s">
        <v>369</v>
      </c>
      <c r="D50" t="s">
        <v>261</v>
      </c>
      <c r="E50" t="s">
        <v>375</v>
      </c>
      <c r="F50" t="s">
        <v>376</v>
      </c>
      <c r="G50" t="s">
        <v>278</v>
      </c>
    </row>
    <row r="51" spans="1:7" x14ac:dyDescent="0.3">
      <c r="A51" t="s">
        <v>377</v>
      </c>
      <c r="B51">
        <v>85.92</v>
      </c>
      <c r="C51" t="s">
        <v>369</v>
      </c>
      <c r="D51" t="s">
        <v>378</v>
      </c>
      <c r="E51" t="s">
        <v>379</v>
      </c>
      <c r="F51" t="s">
        <v>274</v>
      </c>
      <c r="G51" t="s">
        <v>380</v>
      </c>
    </row>
    <row r="52" spans="1:7" x14ac:dyDescent="0.3">
      <c r="A52" t="s">
        <v>381</v>
      </c>
      <c r="B52">
        <v>300</v>
      </c>
      <c r="C52" t="s">
        <v>369</v>
      </c>
      <c r="D52" t="s">
        <v>261</v>
      </c>
      <c r="E52" t="s">
        <v>382</v>
      </c>
      <c r="F52" t="s">
        <v>266</v>
      </c>
      <c r="G52" t="s">
        <v>373</v>
      </c>
    </row>
    <row r="53" spans="1:7" x14ac:dyDescent="0.3">
      <c r="A53" t="s">
        <v>383</v>
      </c>
      <c r="B53" t="s">
        <v>55</v>
      </c>
      <c r="C53" t="s">
        <v>369</v>
      </c>
      <c r="D53" t="s">
        <v>261</v>
      </c>
      <c r="E53" t="s">
        <v>384</v>
      </c>
      <c r="F53" t="s">
        <v>266</v>
      </c>
      <c r="G53" t="s">
        <v>385</v>
      </c>
    </row>
    <row r="54" spans="1:7" x14ac:dyDescent="0.3">
      <c r="A54" t="s">
        <v>386</v>
      </c>
      <c r="C54" t="s">
        <v>387</v>
      </c>
      <c r="D54" t="s">
        <v>307</v>
      </c>
      <c r="E54" t="s">
        <v>266</v>
      </c>
      <c r="F54" t="s">
        <v>388</v>
      </c>
      <c r="G54" t="s">
        <v>389</v>
      </c>
    </row>
    <row r="55" spans="1:7" x14ac:dyDescent="0.3">
      <c r="A55" t="s">
        <v>390</v>
      </c>
      <c r="C55" t="s">
        <v>387</v>
      </c>
      <c r="D55" t="s">
        <v>307</v>
      </c>
      <c r="E55" t="s">
        <v>266</v>
      </c>
      <c r="F55" t="s">
        <v>391</v>
      </c>
      <c r="G55" t="s">
        <v>392</v>
      </c>
    </row>
    <row r="56" spans="1:7" x14ac:dyDescent="0.3">
      <c r="A56" t="s">
        <v>411</v>
      </c>
      <c r="B56" t="s">
        <v>425</v>
      </c>
      <c r="C56" t="s">
        <v>412</v>
      </c>
      <c r="D56" t="s">
        <v>307</v>
      </c>
      <c r="E56" t="s">
        <v>266</v>
      </c>
      <c r="F56" t="s">
        <v>413</v>
      </c>
      <c r="G56" t="s">
        <v>414</v>
      </c>
    </row>
    <row r="57" spans="1:7" x14ac:dyDescent="0.3">
      <c r="A57" t="s">
        <v>415</v>
      </c>
      <c r="B57" t="s">
        <v>426</v>
      </c>
      <c r="C57" t="s">
        <v>412</v>
      </c>
      <c r="D57" t="s">
        <v>307</v>
      </c>
      <c r="E57" t="s">
        <v>266</v>
      </c>
      <c r="F57" t="s">
        <v>413</v>
      </c>
      <c r="G57" t="s">
        <v>416</v>
      </c>
    </row>
    <row r="58" spans="1:7" x14ac:dyDescent="0.3">
      <c r="A58" t="s">
        <v>417</v>
      </c>
      <c r="B58" t="s">
        <v>427</v>
      </c>
      <c r="C58" t="s">
        <v>412</v>
      </c>
      <c r="D58" t="s">
        <v>307</v>
      </c>
      <c r="E58" t="s">
        <v>266</v>
      </c>
      <c r="F58" t="s">
        <v>402</v>
      </c>
      <c r="G58" t="s">
        <v>418</v>
      </c>
    </row>
    <row r="59" spans="1:7" x14ac:dyDescent="0.3">
      <c r="A59" t="s">
        <v>419</v>
      </c>
      <c r="B59" t="s">
        <v>428</v>
      </c>
      <c r="C59" t="s">
        <v>412</v>
      </c>
      <c r="D59" t="s">
        <v>307</v>
      </c>
      <c r="E59" t="s">
        <v>266</v>
      </c>
      <c r="F59" t="s">
        <v>420</v>
      </c>
      <c r="G59" t="s">
        <v>421</v>
      </c>
    </row>
    <row r="60" spans="1:7" x14ac:dyDescent="0.3">
      <c r="A60" t="s">
        <v>422</v>
      </c>
      <c r="B60" t="s">
        <v>429</v>
      </c>
      <c r="C60" t="s">
        <v>412</v>
      </c>
      <c r="D60" t="s">
        <v>307</v>
      </c>
      <c r="E60" t="s">
        <v>266</v>
      </c>
      <c r="F60" t="s">
        <v>423</v>
      </c>
      <c r="G60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171</v>
      </c>
      <c r="B1" s="105"/>
      <c r="C1" s="105"/>
      <c r="D1" s="105"/>
      <c r="E1" s="105"/>
      <c r="F1" s="105"/>
    </row>
    <row r="3" spans="1:6" ht="24" customHeight="1" x14ac:dyDescent="0.3">
      <c r="A3" s="106" t="s">
        <v>172</v>
      </c>
      <c r="B3" s="106"/>
      <c r="C3" s="106"/>
      <c r="D3" s="106"/>
      <c r="E3" s="106"/>
      <c r="F3" s="106"/>
    </row>
    <row r="4" spans="1:6" ht="24" customHeight="1" x14ac:dyDescent="0.3">
      <c r="A4" s="106"/>
      <c r="B4" s="106"/>
      <c r="C4" s="106"/>
      <c r="D4" s="106"/>
      <c r="E4" s="106"/>
      <c r="F4" s="106"/>
    </row>
    <row r="5" spans="1:6" ht="24" customHeight="1" x14ac:dyDescent="0.3">
      <c r="A5" s="106"/>
      <c r="B5" s="106"/>
      <c r="C5" s="106"/>
      <c r="D5" s="106"/>
      <c r="E5" s="106"/>
      <c r="F5" s="106"/>
    </row>
    <row r="6" spans="1:6" ht="24" customHeight="1" x14ac:dyDescent="0.3">
      <c r="A6" s="106"/>
      <c r="B6" s="106"/>
      <c r="C6" s="106"/>
      <c r="D6" s="106"/>
      <c r="E6" s="106"/>
      <c r="F6" s="106"/>
    </row>
    <row r="7" spans="1:6" ht="24" customHeight="1" x14ac:dyDescent="0.3">
      <c r="A7" s="106"/>
      <c r="B7" s="106"/>
      <c r="C7" s="106"/>
      <c r="D7" s="106"/>
      <c r="E7" s="106"/>
      <c r="F7" s="106"/>
    </row>
    <row r="8" spans="1:6" ht="24" customHeight="1" x14ac:dyDescent="0.3">
      <c r="A8" s="106"/>
      <c r="B8" s="106"/>
      <c r="C8" s="106"/>
      <c r="D8" s="106"/>
      <c r="E8" s="106"/>
      <c r="F8" s="106"/>
    </row>
    <row r="9" spans="1:6" ht="24" customHeight="1" x14ac:dyDescent="0.3">
      <c r="A9" s="106"/>
      <c r="B9" s="106"/>
      <c r="C9" s="106"/>
      <c r="D9" s="106"/>
      <c r="E9" s="106"/>
      <c r="F9" s="106"/>
    </row>
    <row r="10" spans="1:6" ht="24" customHeight="1" x14ac:dyDescent="0.3">
      <c r="A10" s="106"/>
      <c r="B10" s="106"/>
      <c r="C10" s="106"/>
      <c r="D10" s="106"/>
      <c r="E10" s="106"/>
      <c r="F10" s="106"/>
    </row>
    <row r="11" spans="1:6" ht="24" customHeight="1" x14ac:dyDescent="0.3">
      <c r="A11" s="106"/>
      <c r="B11" s="106"/>
      <c r="C11" s="106"/>
      <c r="D11" s="106"/>
      <c r="E11" s="106"/>
      <c r="F11" s="106"/>
    </row>
    <row r="12" spans="1:6" ht="24" customHeight="1" x14ac:dyDescent="0.3">
      <c r="A12" s="106"/>
      <c r="B12" s="106"/>
      <c r="C12" s="106"/>
      <c r="D12" s="106"/>
      <c r="E12" s="106"/>
      <c r="F12" s="106"/>
    </row>
    <row r="13" spans="1:6" ht="24" customHeight="1" x14ac:dyDescent="0.3">
      <c r="A13" s="106"/>
      <c r="B13" s="106"/>
      <c r="C13" s="106"/>
      <c r="D13" s="106"/>
      <c r="E13" s="106"/>
      <c r="F13" s="106"/>
    </row>
    <row r="14" spans="1:6" ht="24" customHeight="1" x14ac:dyDescent="0.3">
      <c r="A14" s="106"/>
      <c r="B14" s="106"/>
      <c r="C14" s="106"/>
      <c r="D14" s="106"/>
      <c r="E14" s="106"/>
      <c r="F14" s="106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IFERROR(IF(LEN(INDEX('00 DATA'!$B:$B,MATCH("object_name",'00 DATA'!$A:$A,0))&amp;"")=0,"",INDEX('00 DATA'!$B:$B,MATCH("object_name",'00 DATA'!$A:$A,0))),"")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IFERROR(IF(LEN(INDEX('00 DATA'!$B:$B,MATCH("gnb_number",'00 DATA'!$A:$A,0))&amp;"")=0,"",INDEX('00 DATA'!$B:$B,MATCH("gnb_number",'00 DATA'!$A:$A,0))),"")</f>
        <v>ГНБ № 10-1С</v>
      </c>
    </row>
    <row r="7" spans="1:3" ht="14.4" x14ac:dyDescent="0.3">
      <c r="A7" s="11" t="s">
        <v>10</v>
      </c>
      <c r="B7" s="12" t="str">
        <f>IFERROR(IF(LEN(INDEX('00 DATA'!$B:$B,MATCH("project_number",'00 DATA'!$A:$A,0))&amp;"")=0,"",INDEX('00 DATA'!$B:$B,MATCH("project_number",'00 DATA'!$A:$A,0))),"")</f>
        <v>ИМ-19-4-Р-3.2Э-ЗП2</v>
      </c>
    </row>
    <row r="8" spans="1:3" ht="14.4" x14ac:dyDescent="0.3">
      <c r="A8" s="11" t="s">
        <v>12</v>
      </c>
      <c r="B8" s="12" t="str">
        <f>IFERROR(IF(LEN(INDEX('00 DATA'!$B:$B,MATCH("start_date_internal",'00 DATA'!$A:$A,0))&amp;"")=0,"",INDEX('00 DATA'!$B:$B,MATCH("start_date_internal",'00 DATA'!$A:$A,0))),"")</f>
        <v>01.06.2024 г.</v>
      </c>
    </row>
    <row r="9" spans="1:3" ht="14.4" x14ac:dyDescent="0.3">
      <c r="A9" s="11" t="s">
        <v>14</v>
      </c>
      <c r="B9" s="12" t="str">
        <f>IFERROR(IF(LEN(INDEX('00 DATA'!$B:$B,MATCH("end_date_internal",'00 DATA'!$A:$A,0))&amp;"")=0,"",INDEX('00 DATA'!$B:$B,MATCH("end_date_internal",'00 DATA'!$A:$A,0))),"")</f>
        <v>03.06.2024 г.</v>
      </c>
    </row>
    <row r="10" spans="1:3" ht="14.4" x14ac:dyDescent="0.3">
      <c r="A10" s="11" t="s">
        <v>16</v>
      </c>
      <c r="B10" s="12" t="str">
        <f>IFERROR(IF(LEN(INDEX('00 DATA'!$B:$B,MATCH("executor",'00 DATA'!$A:$A,0))&amp;"")=0,"",INDEX('00 DATA'!$B:$B,MATCH("executor",'00 DATA'!$A:$A,0))),"")</f>
        <v>ООО «Резонанс-Энерго»</v>
      </c>
    </row>
    <row r="11" spans="1:3" ht="14.4" x14ac:dyDescent="0.3">
      <c r="A11" s="11" t="s">
        <v>18</v>
      </c>
      <c r="B11" s="12" t="str">
        <f>IFERROR(IF(LEN(INDEX('00 DATA'!$B:$B,MATCH("act_date_internal",'00 DATA'!$A:$A,0))&amp;"")=0,"",INDEX('00 DATA'!$B:$B,MATCH("act_date_internal",'00 DATA'!$A:$A,0))),"")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IFERROR(IF(LEN(INDEX('00 DATA'!$B:$B,MATCH("org_customer_display",'00 DATA'!$A:$A,0))&amp;"")=0,"",INDEX('00 DATA'!$B:$B,MATCH("org_customer_display",'00 DATA'!$A:$A,0))),"")</f>
        <v>ГКУ «УДМС»</v>
      </c>
    </row>
    <row r="15" spans="1:3" ht="14.4" x14ac:dyDescent="0.3">
      <c r="A15" s="11" t="s">
        <v>22</v>
      </c>
      <c r="B15" s="12" t="str">
        <f>IFERROR(IF(LEN(INDEX('00 DATA'!$B:$B,MATCH("org_contractor_display",'00 DATA'!$A:$A,0))&amp;"")=0,"",INDEX('00 DATA'!$B:$B,MATCH("org_contractor_display",'00 DATA'!$A:$A,0))),"")</f>
        <v>ООО «Резонанс-Энерго»</v>
      </c>
    </row>
    <row r="16" spans="1:3" ht="14.4" x14ac:dyDescent="0.3">
      <c r="A16" s="11" t="s">
        <v>23</v>
      </c>
      <c r="B16" s="12" t="str">
        <f>IFERROR(IF(LEN(INDEX('00 DATA'!$B:$B,MATCH("org_designer_display",'00 DATA'!$A:$A,0))&amp;"")=0,"",INDEX('00 DATA'!$B:$B,MATCH("org_designer_display",'00 DATA'!$A:$A,0))),"")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IFERROR(IF(LEN(INDEX('00 DATA'!$B:$B,MATCH("sign1_desc",'00 DATA'!$A:$A,0))&amp;"")=0,"",INDEX('00 DATA'!$B:$B,MATCH("sign1_desc",'00 DATA'!$A:$A,0))),"")</f>
        <v xml:space="preserve">Представитель ЮРЭС АО "ОЭК" </v>
      </c>
      <c r="C20" s="12" t="str">
        <f>IFERROR(IF(LEN(INDEX('00 DATA'!$B:$B,MATCH("sign1_line",'00 DATA'!$A:$A,0))&amp;"")=0,"",INDEX('00 DATA'!$B:$B,MATCH("sign1_line",'00 DATA'!$A:$A,0))),"")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IFERROR(IF(LEN(INDEX('00 DATA'!$B:$B,MATCH("sign2_desc",'00 DATA'!$A:$A,0))&amp;"")=0,"",INDEX('00 DATA'!$B:$B,MATCH("sign2_desc",'00 DATA'!$A:$A,0))),"")</f>
        <v>Начальник участка ООО «Резонанс-Энерго» Борков Е.А</v>
      </c>
      <c r="C21" s="12" t="str">
        <f>IFERROR(IF(LEN(INDEX('00 DATA'!$B:$B,MATCH("sign2_line",'00 DATA'!$A:$A,0))&amp;"")=0,"",INDEX('00 DATA'!$B:$B,MATCH("sign2_line",'00 DATA'!$A:$A,0))),"")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IFERROR(IF(LEN(INDEX('00 DATA'!$B:$B,MATCH("sign3_desc",'00 DATA'!$A:$A,0))&amp;"")=0,"",INDEX('00 DATA'!$B:$B,MATCH("sign3_desc",'00 DATA'!$A:$A,0))),"")</f>
        <v xml:space="preserve"> </v>
      </c>
      <c r="C22" s="15" t="str">
        <f>IFERROR(IF(LEN(INDEX('00 DATA'!$B:$B,MATCH("sign3_line",'00 DATA'!$A:$A,0))&amp;"")=0,"",INDEX('00 DATA'!$B:$B,MATCH("sign3_line",'00 DATA'!$A:$A,0))),"")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IFERROR(IF(LEN(INDEX('00 DATA'!$B:$B,MATCH("tech_desc",'00 DATA'!$A:$A,0))&amp;"")=0,"",INDEX('00 DATA'!$B:$B,MATCH("tech_desc",'00 DATA'!$A:$A,0))),"")</f>
        <v>Представитель Южного РЭС АО "ОЭК" и АО "ОЭК"</v>
      </c>
      <c r="C23" s="15" t="str">
        <f>IFERROR(IF(LEN(INDEX('00 DATA'!$B:$B,MATCH("tech_line",'00 DATA'!$A:$A,0))&amp;"")=0,"",INDEX('00 DATA'!$B:$B,MATCH("tech_line",'00 DATA'!$A:$A,0))),"")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IFERROR(IF(LEN(INDEX('00 DATA'!$B:$B,MATCH("pipe_mark",'00 DATA'!$A:$A,0))&amp;"")=0,"",INDEX('00 DATA'!$B:$B,MATCH("pipe_mark",'00 DATA'!$A:$A,0))),"")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IFERROR(IF(LEN(INDEX('00 DATA'!$B:$B,MATCH("pipe_diameter_display",'00 DATA'!$A:$A,0))&amp;"")=0,"",INDEX('00 DATA'!$B:$B,MATCH("pipe_diameter_display",'00 DATA'!$A:$A,0))),"")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IFERROR(IF(LEN(INDEX('00 DATA'!$B:$B,MATCH("gnb_number",'00 DATA'!$A:$A,0))&amp;"")=0,"",INDEX('00 DATA'!$B:$B,MATCH("gnb_number",'00 DATA'!$A:$A,0))),"")</f>
        <v>ГНБ № 10-1С</v>
      </c>
      <c r="B31" s="18">
        <f>IFERROR(IF(LEN(INDEX('00 DATA'!$B:$B,MATCH("plan_length",'00 DATA'!$A:$A,0))&amp;"")=0,"",INDEX('00 DATA'!$B:$B,MATCH("plan_length",'00 DATA'!$A:$A,0))),"")</f>
        <v>40.81</v>
      </c>
      <c r="C31" s="18">
        <f>IFERROR(IF(LEN(INDEX('00 DATA'!$B:$B,MATCH("profile_length",'00 DATA'!$A:$A,0))&amp;"")=0,"",INDEX('00 DATA'!$B:$B,MATCH("profile_length",'00 DATA'!$A:$A,0))),"")</f>
        <v>42.96</v>
      </c>
      <c r="D31" s="18">
        <f>IFERROR(IF(LEN(INDEX('00 DATA'!$B:$B,MATCH("pipe_count",'00 DATA'!$A:$A,0))&amp;"")=0,"",INDEX('00 DATA'!$B:$B,MATCH("pipe_count",'00 DATA'!$A:$A,0))),"")</f>
        <v>2</v>
      </c>
      <c r="E31" s="17">
        <f>IFERROR(C31*D31,"")</f>
        <v>85.92</v>
      </c>
      <c r="F31" s="18">
        <f>IFERROR(IF(LEN(INDEX('00 DATA'!$B:$B,MATCH("drill_diameter",'00 DATA'!$A:$A,0))&amp;"")=0,"",INDEX('00 DATA'!$B:$B,MATCH("drill_diameter",'00 DATA'!$A:$A,0))),"")</f>
        <v>300</v>
      </c>
      <c r="G31" s="17" t="str">
        <f>IFERROR(IF(LEN(INDEX('00 DATA'!$B:$B,MATCH("configuration",'00 DATA'!$A:$A,0))&amp;"")=0,"",INDEX('00 DATA'!$B:$B,MATCH("configuration",'00 DATA'!$A:$A,0))),"")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62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09" t="s">
        <v>64</v>
      </c>
      <c r="B11" s="109"/>
      <c r="C11" s="109"/>
      <c r="D11" s="109"/>
      <c r="E11" s="109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7" t="s">
        <v>65</v>
      </c>
      <c r="B13" s="107"/>
      <c r="C13" s="107"/>
      <c r="D13" s="107"/>
      <c r="E13" s="107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0" t="str">
        <f>'02 Acts - Data'!B6</f>
        <v>ГНБ № 10-1С</v>
      </c>
      <c r="K14" s="110"/>
      <c r="L14" s="110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0" t="str">
        <f>'02 Acts - Data'!B6</f>
        <v>ГНБ № 10-1С</v>
      </c>
      <c r="G21" s="110"/>
      <c r="H21" s="110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7" t="s">
        <v>74</v>
      </c>
      <c r="B33" s="107"/>
      <c r="C33" s="107"/>
      <c r="D33" s="107"/>
      <c r="E33" s="107"/>
      <c r="F33" s="107"/>
      <c r="G33" s="107"/>
      <c r="H33" s="107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C3:K3"/>
    <mergeCell ref="G4:J4"/>
    <mergeCell ref="A5:B5"/>
    <mergeCell ref="G5:K5"/>
    <mergeCell ref="A6:K6"/>
    <mergeCell ref="A33:H33"/>
    <mergeCell ref="A7:K7"/>
    <mergeCell ref="A11:E11"/>
    <mergeCell ref="A13:E13"/>
    <mergeCell ref="J14:L14"/>
    <mergeCell ref="F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3.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3.5" customHeight="1" x14ac:dyDescent="0.3">
      <c r="A7" s="108" t="s">
        <v>76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0" t="str">
        <f>'02 Acts - Data'!B6</f>
        <v>ГНБ № 10-1С</v>
      </c>
      <c r="G17" s="110"/>
      <c r="H17" s="110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4" t="str">
        <f>'02 Acts - Data'!B27</f>
        <v xml:space="preserve"> d=110 мм.</v>
      </c>
      <c r="F22" s="114"/>
      <c r="G22" s="114"/>
      <c r="H22" s="114"/>
      <c r="I22" s="114"/>
      <c r="J22" s="11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6" t="str">
        <f>'02 Acts - Data'!B9</f>
        <v>03.06.2024 г.</v>
      </c>
      <c r="E26" s="116"/>
      <c r="F26" s="116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08" t="s">
        <v>88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3.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3.5" customHeight="1" x14ac:dyDescent="0.3">
      <c r="A7" s="108" t="s">
        <v>91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0" t="str">
        <f>'02 Acts - Data'!B6</f>
        <v>ГНБ № 10-1С</v>
      </c>
      <c r="B15" s="110"/>
      <c r="C15" s="110"/>
      <c r="D15" s="109" t="s">
        <v>93</v>
      </c>
      <c r="E15" s="109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7">
        <f>'02 Acts - Data'!D31</f>
        <v>2</v>
      </c>
      <c r="F19" s="117"/>
      <c r="G19" s="1"/>
      <c r="H19" s="109"/>
      <c r="I19" s="109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7">
        <f>'02 Acts - Data'!E31</f>
        <v>85.92</v>
      </c>
      <c r="F20" s="117"/>
      <c r="G20" s="1"/>
      <c r="H20" s="118"/>
      <c r="I20" s="118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9" t="str">
        <f>'02 Acts - Data'!B26</f>
        <v>Труба "ПЭ тип "С" 110*6,3 техническая (L012) (паспорт  качества от 23.08.2021г.)</v>
      </c>
      <c r="E21" s="119"/>
      <c r="F21" s="119"/>
      <c r="G21" s="119"/>
      <c r="H21" s="119"/>
      <c r="I21" s="119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0" t="str">
        <f>'02 Acts - Data'!B6</f>
        <v>ГНБ № 10-1С</v>
      </c>
      <c r="F26" s="110"/>
      <c r="G26" s="110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C3:K3"/>
    <mergeCell ref="G4:J4"/>
    <mergeCell ref="A5:B5"/>
    <mergeCell ref="G5:K5"/>
    <mergeCell ref="A6:K6"/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1"/>
      <c r="E3" s="121"/>
      <c r="F3" s="121"/>
      <c r="G3" s="121"/>
      <c r="H3" s="121"/>
      <c r="I3" s="121"/>
      <c r="J3" s="121"/>
      <c r="K3" s="121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2"/>
      <c r="H4" s="122"/>
      <c r="I4" s="122"/>
      <c r="J4" s="122"/>
      <c r="K4" s="40"/>
    </row>
    <row r="5" spans="1:257" ht="9.75" customHeight="1" x14ac:dyDescent="0.3">
      <c r="A5" s="123"/>
      <c r="B5" s="123"/>
      <c r="G5" s="124"/>
      <c r="H5" s="124"/>
      <c r="I5" s="124"/>
      <c r="J5" s="124"/>
      <c r="K5" s="124"/>
      <c r="O5" s="42"/>
      <c r="P5" s="42"/>
      <c r="Q5" s="42"/>
      <c r="R5" s="42"/>
      <c r="S5" s="42"/>
    </row>
    <row r="6" spans="1:257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08" t="s">
        <v>108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0" t="str">
        <f>'02 Acts - Data'!B16</f>
        <v>АО "МОСИНЖПРОЕКТ"</v>
      </c>
      <c r="E23" s="110"/>
      <c r="F23" s="110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20" t="str">
        <f>'02 Acts - Data'!B26</f>
        <v>Труба "ПЭ тип "С" 110*6,3 техническая (L012) (паспорт  качества от 23.08.2021г.)</v>
      </c>
      <c r="F25" s="120"/>
      <c r="G25" s="120"/>
      <c r="H25" s="120"/>
      <c r="I25" s="120"/>
      <c r="J25" s="120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5" t="str">
        <f>'02 Acts - Data'!B8</f>
        <v>01.06.2024 г.</v>
      </c>
      <c r="E27" s="115"/>
      <c r="F27" s="115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5" t="str">
        <f>'02 Acts - Data'!B9</f>
        <v>03.06.2024 г.</v>
      </c>
      <c r="E29" s="115"/>
      <c r="F29" s="11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08" t="s">
        <v>88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C3:K3"/>
    <mergeCell ref="G4:J4"/>
    <mergeCell ref="A5:B5"/>
    <mergeCell ref="G5:K5"/>
    <mergeCell ref="A6:K6"/>
    <mergeCell ref="D29:F29"/>
    <mergeCell ref="A31:K31"/>
    <mergeCell ref="A7:K7"/>
    <mergeCell ref="E14:G14"/>
    <mergeCell ref="D23:F23"/>
    <mergeCell ref="E25:J25"/>
    <mergeCell ref="D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57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57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57" ht="15.75" customHeight="1" x14ac:dyDescent="0.3">
      <c r="A7" s="108" t="s">
        <v>118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0" t="str">
        <f>'02 Acts - Data'!B6</f>
        <v>ГНБ № 10-1С</v>
      </c>
      <c r="E17" s="110"/>
      <c r="F17" s="110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5" t="str">
        <f>'02 Acts - Data'!B8</f>
        <v>01.06.2024 г.</v>
      </c>
      <c r="E22" s="115"/>
      <c r="F22" s="115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5" t="str">
        <f>'02 Acts - Data'!B9</f>
        <v>03.06.2024 г.</v>
      </c>
      <c r="E24" s="115"/>
      <c r="F24" s="11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08" t="s">
        <v>88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C3:K3"/>
    <mergeCell ref="G4:J4"/>
    <mergeCell ref="A5:B5"/>
    <mergeCell ref="G5:K5"/>
    <mergeCell ref="A6:K6"/>
    <mergeCell ref="D24:F24"/>
    <mergeCell ref="A26:K26"/>
    <mergeCell ref="A7:K7"/>
    <mergeCell ref="E14:G14"/>
    <mergeCell ref="D17:F17"/>
    <mergeCell ref="D20:F20"/>
    <mergeCell ref="D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122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0" t="str">
        <f>'02 Acts - Data'!B6</f>
        <v>ГНБ № 10-1С</v>
      </c>
      <c r="E17" s="110"/>
      <c r="F17" s="110"/>
      <c r="G17" s="110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125" t="str">
        <f>'02 Acts - Data'!B7</f>
        <v>ИМ-19-4-Р-3.2Э-ЗП2</v>
      </c>
      <c r="I20" s="125"/>
      <c r="J20" s="12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5" t="str">
        <f>'02 Acts - Data'!B26</f>
        <v>Труба "ПЭ тип "С" 110*6,3 техническая (L012) (паспорт  качества от 23.08.2021г.)</v>
      </c>
      <c r="F22" s="125"/>
      <c r="G22" s="125"/>
      <c r="H22" s="125"/>
      <c r="I22" s="125"/>
      <c r="J22" s="12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4" t="str">
        <f>'02 Acts - Data'!B27</f>
        <v xml:space="preserve"> d=110 мм.</v>
      </c>
      <c r="F24" s="114"/>
      <c r="G24" s="114"/>
      <c r="H24" s="114"/>
      <c r="I24" s="114"/>
      <c r="J24" s="11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5" t="str">
        <f>'02 Acts - Data'!B8</f>
        <v>01.06.2024 г.</v>
      </c>
      <c r="E26" s="115"/>
      <c r="F26" s="115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5" t="str">
        <f>'02 Acts - Data'!B9</f>
        <v>03.06.2024 г.</v>
      </c>
      <c r="E28" s="115"/>
      <c r="F28" s="115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08" t="s">
        <v>88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39" t="s">
        <v>61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26" ht="15.75" customHeight="1" x14ac:dyDescent="0.3">
      <c r="A2" s="139" t="s">
        <v>128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 spans="1:26" ht="15.75" customHeight="1" x14ac:dyDescent="0.3"/>
    <row r="4" spans="1:26" ht="15.75" customHeight="1" x14ac:dyDescent="0.3">
      <c r="A4" s="123" t="s">
        <v>129</v>
      </c>
      <c r="B4" s="123"/>
      <c r="C4" s="49"/>
      <c r="D4" s="49"/>
      <c r="E4" s="49"/>
      <c r="F4" s="49"/>
      <c r="G4" s="124" t="str">
        <f>'02 Acts - Data'!B11</f>
        <v>03.06.2024 г.</v>
      </c>
      <c r="H4" s="124"/>
      <c r="I4" s="124"/>
      <c r="J4" s="124"/>
      <c r="K4" s="124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32" t="s">
        <v>130</v>
      </c>
      <c r="B6" s="132"/>
      <c r="C6" s="132"/>
      <c r="D6" s="132"/>
      <c r="E6" s="132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30" t="s">
        <v>131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</row>
    <row r="8" spans="1:26" ht="15.75" customHeight="1" x14ac:dyDescent="0.3"/>
    <row r="9" spans="1:26" ht="40.5" customHeight="1" x14ac:dyDescent="0.3">
      <c r="A9" s="13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</row>
    <row r="10" spans="1:26" ht="12" customHeight="1" x14ac:dyDescent="0.3">
      <c r="A10" s="137" t="s">
        <v>132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</row>
    <row r="11" spans="1:26" ht="15.75" customHeight="1" x14ac:dyDescent="0.3">
      <c r="A11" s="138" t="str">
        <f>'02 Acts - Data'!B5</f>
        <v>По адресу: г. Москва, ул. Кантемировская, д.60</v>
      </c>
      <c r="B11" s="138"/>
      <c r="C11" s="138"/>
      <c r="D11" s="138"/>
      <c r="E11" s="138"/>
      <c r="F11" s="138"/>
      <c r="G11" s="138"/>
      <c r="H11" s="138"/>
      <c r="I11" s="138"/>
      <c r="J11" s="53"/>
      <c r="K11" s="53"/>
    </row>
    <row r="12" spans="1:26" ht="15.75" customHeight="1" x14ac:dyDescent="0.3">
      <c r="A12" s="130" t="s">
        <v>133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</row>
    <row r="13" spans="1:26" ht="15.75" customHeight="1" x14ac:dyDescent="0.3">
      <c r="A13" s="123" t="s">
        <v>134</v>
      </c>
      <c r="B13" s="123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3" t="s">
        <v>135</v>
      </c>
      <c r="B14" s="133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4" t="s">
        <v>136</v>
      </c>
      <c r="B15" s="134"/>
      <c r="C15" s="135" t="str">
        <f>'02 Acts - Data'!B21</f>
        <v>Начальник участка ООО «Резонанс-Энерго» Борков Е.А</v>
      </c>
      <c r="D15" s="135"/>
      <c r="E15" s="135"/>
      <c r="F15" s="135"/>
      <c r="G15" s="135"/>
      <c r="H15" s="135"/>
      <c r="I15" s="135"/>
      <c r="J15" s="135"/>
      <c r="K15" s="135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5" ht="15.75" customHeight="1" x14ac:dyDescent="0.3">
      <c r="A17" s="49"/>
      <c r="B17" s="49"/>
      <c r="C17" s="123"/>
      <c r="D17" s="123"/>
      <c r="E17" s="123"/>
      <c r="F17" s="123"/>
      <c r="G17" s="123"/>
      <c r="H17" s="123"/>
      <c r="I17" s="123"/>
      <c r="J17" s="123"/>
      <c r="K17" s="123"/>
    </row>
    <row r="18" spans="1:25" ht="15.75" customHeight="1" x14ac:dyDescent="0.3">
      <c r="A18" s="123" t="s">
        <v>77</v>
      </c>
      <c r="B18" s="123"/>
      <c r="C18" s="123"/>
      <c r="D18" s="123"/>
      <c r="E18" s="127" t="str">
        <f>'02 Acts - Data'!B10</f>
        <v>ООО «Резонанс-Энерго»</v>
      </c>
      <c r="F18" s="127"/>
      <c r="G18" s="127"/>
      <c r="H18" s="127"/>
      <c r="I18" s="127"/>
      <c r="J18" s="127"/>
      <c r="K18" s="127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spans="1:25" ht="15.75" customHeight="1" x14ac:dyDescent="0.3">
      <c r="A19" s="123" t="s">
        <v>78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</row>
    <row r="20" spans="1:25" ht="15.75" customHeight="1" x14ac:dyDescent="0.3">
      <c r="B20" s="123" t="s">
        <v>137</v>
      </c>
      <c r="C20" s="123"/>
      <c r="D20" s="123"/>
      <c r="E20" s="123"/>
      <c r="F20" s="123"/>
      <c r="G20" s="123"/>
      <c r="H20" s="123"/>
      <c r="I20" s="123"/>
      <c r="J20" s="123"/>
      <c r="K20" s="123"/>
      <c r="P20" s="131"/>
      <c r="Q20" s="131"/>
      <c r="R20" s="131"/>
      <c r="S20" s="131"/>
      <c r="T20" s="131"/>
      <c r="U20" s="131"/>
      <c r="V20" s="131"/>
      <c r="W20" s="131"/>
      <c r="X20" s="131"/>
      <c r="Y20" s="131"/>
    </row>
    <row r="21" spans="1:25" ht="15.75" customHeight="1" x14ac:dyDescent="0.3"/>
    <row r="22" spans="1:25" ht="15.75" customHeight="1" x14ac:dyDescent="0.3">
      <c r="A22" s="132" t="s">
        <v>138</v>
      </c>
      <c r="B22" s="132"/>
      <c r="C22" s="132"/>
      <c r="D22" s="132"/>
      <c r="E22" s="132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30" t="s">
        <v>139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</row>
    <row r="24" spans="1:25" ht="15.75" customHeight="1" x14ac:dyDescent="0.3">
      <c r="B24" s="123" t="s">
        <v>83</v>
      </c>
      <c r="C24" s="123"/>
      <c r="D24" s="123"/>
      <c r="E24" s="123"/>
      <c r="F24" s="127" t="str">
        <f>'02 Acts - Data'!B7</f>
        <v>ИМ-19-4-Р-3.2Э-ЗП2</v>
      </c>
      <c r="G24" s="127"/>
      <c r="H24" s="127"/>
      <c r="I24" s="127"/>
      <c r="J24" s="127"/>
      <c r="K24" s="127"/>
      <c r="P24" s="123"/>
      <c r="Q24" s="123"/>
      <c r="R24" s="123"/>
      <c r="S24" s="123"/>
      <c r="T24" s="123"/>
      <c r="U24" s="123"/>
      <c r="V24" s="123"/>
      <c r="W24" s="123"/>
      <c r="X24" s="123"/>
      <c r="Y24" s="123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27" t="str">
        <f>'02 Acts - Data'!B16</f>
        <v>АО "МОСИНЖПРОЕКТ"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1:25" ht="15.75" customHeight="1" x14ac:dyDescent="0.3">
      <c r="A27" s="129" t="s">
        <v>141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</row>
    <row r="28" spans="1:25" ht="15.75" customHeight="1" x14ac:dyDescent="0.3">
      <c r="B28" s="123" t="s">
        <v>142</v>
      </c>
      <c r="C28" s="123"/>
      <c r="D28" s="123"/>
      <c r="E28" s="123"/>
      <c r="F28" s="123"/>
      <c r="G28" s="123"/>
      <c r="H28" s="123"/>
      <c r="I28" s="123"/>
      <c r="J28" s="123"/>
      <c r="K28" s="123"/>
    </row>
    <row r="29" spans="1:25" ht="15.75" customHeight="1" x14ac:dyDescent="0.3">
      <c r="A29" s="127" t="s">
        <v>143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1:25" ht="15.75" customHeight="1" x14ac:dyDescent="0.3">
      <c r="A30" s="130" t="s">
        <v>144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</row>
    <row r="31" spans="1:25" ht="15.75" customHeight="1" x14ac:dyDescent="0.3">
      <c r="B31" s="123" t="s">
        <v>86</v>
      </c>
      <c r="C31" s="123"/>
      <c r="D31" s="123"/>
      <c r="E31" s="123" t="str">
        <f>'02 Acts - Data'!B8</f>
        <v>01.06.2024 г.</v>
      </c>
      <c r="F31" s="123"/>
      <c r="G31" s="123"/>
      <c r="H31" s="123"/>
      <c r="I31" s="123"/>
      <c r="J31" s="123"/>
      <c r="K31" s="123"/>
    </row>
    <row r="32" spans="1:25" ht="15.75" customHeight="1" x14ac:dyDescent="0.3"/>
    <row r="33" spans="1:11" ht="15.75" customHeight="1" x14ac:dyDescent="0.3">
      <c r="B33" s="123" t="s">
        <v>87</v>
      </c>
      <c r="C33" s="123"/>
      <c r="D33" s="123"/>
      <c r="E33" s="123" t="str">
        <f>'02 Acts - Data'!B9</f>
        <v>03.06.2024 г.</v>
      </c>
      <c r="F33" s="123"/>
      <c r="G33" s="123"/>
      <c r="H33" s="123"/>
      <c r="I33" s="123"/>
      <c r="J33" s="123"/>
      <c r="K33" s="123"/>
    </row>
    <row r="34" spans="1:11" ht="15.75" customHeight="1" x14ac:dyDescent="0.3"/>
    <row r="35" spans="1:11" ht="15.75" customHeight="1" x14ac:dyDescent="0.3">
      <c r="A35" s="128" t="s">
        <v>88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</row>
    <row r="36" spans="1:11" ht="15.75" customHeight="1" x14ac:dyDescent="0.3"/>
    <row r="37" spans="1:11" ht="15.75" customHeight="1" x14ac:dyDescent="0.3">
      <c r="B37" s="123" t="s">
        <v>145</v>
      </c>
      <c r="C37" s="123"/>
      <c r="D37" s="123"/>
      <c r="E37" s="123"/>
      <c r="F37" s="123"/>
      <c r="G37" s="123"/>
      <c r="H37" s="123"/>
      <c r="I37" s="123"/>
      <c r="J37" s="123"/>
      <c r="K37" s="123"/>
    </row>
    <row r="38" spans="1:11" ht="15.75" customHeight="1" x14ac:dyDescent="0.3">
      <c r="A38" s="123" t="s">
        <v>146</v>
      </c>
      <c r="B38" s="123"/>
      <c r="C38" s="123"/>
      <c r="D38" s="123"/>
    </row>
    <row r="39" spans="1:11" ht="15.75" customHeight="1" x14ac:dyDescent="0.3">
      <c r="B39" s="123" t="s">
        <v>147</v>
      </c>
      <c r="C39" s="123"/>
      <c r="D39" s="123"/>
      <c r="E39" s="123"/>
      <c r="F39" s="123"/>
      <c r="G39" s="123"/>
      <c r="H39" s="123"/>
      <c r="I39" s="123"/>
      <c r="J39" s="123"/>
      <c r="K39" s="123"/>
    </row>
    <row r="40" spans="1:11" ht="15.75" customHeight="1" x14ac:dyDescent="0.3">
      <c r="A40" s="127" t="s">
        <v>148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</row>
    <row r="41" spans="1:11" ht="15.75" customHeight="1" x14ac:dyDescent="0.3"/>
    <row r="42" spans="1:11" ht="15.75" customHeight="1" x14ac:dyDescent="0.3">
      <c r="A42" s="51"/>
      <c r="B42" s="123" t="str">
        <f>'02 Acts - Data'!B20</f>
        <v xml:space="preserve">Представитель ЮРЭС АО "ОЭК" </v>
      </c>
      <c r="C42" s="123"/>
      <c r="D42" s="123"/>
      <c r="E42" s="123"/>
      <c r="F42" s="123"/>
      <c r="G42" s="123"/>
      <c r="H42" s="123"/>
      <c r="I42" s="123"/>
      <c r="J42" s="123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3" t="str">
        <f>'02 Acts - Data'!B21</f>
        <v>Начальник участка ООО «Резонанс-Энерго» Борков Е.А</v>
      </c>
      <c r="C44" s="123"/>
      <c r="D44" s="123"/>
      <c r="E44" s="123"/>
      <c r="F44" s="123"/>
      <c r="G44" s="123"/>
      <c r="H44" s="123"/>
      <c r="I44" s="123"/>
      <c r="J44" s="123"/>
    </row>
    <row r="45" spans="1:11" ht="15.75" customHeight="1" x14ac:dyDescent="0.3">
      <c r="A45" s="51"/>
      <c r="B45" s="123" t="str">
        <f>'02 Acts - Data'!B22</f>
        <v xml:space="preserve"> </v>
      </c>
      <c r="C45" s="123"/>
      <c r="D45" s="123"/>
      <c r="E45" s="123"/>
      <c r="F45" s="123"/>
      <c r="G45" s="123"/>
      <c r="H45" s="123"/>
      <c r="I45" s="123"/>
      <c r="J45" s="123"/>
      <c r="K45" s="51"/>
    </row>
    <row r="46" spans="1:11" ht="15.75" customHeight="1" x14ac:dyDescent="0.3">
      <c r="B46" s="123"/>
      <c r="C46" s="123"/>
      <c r="D46" s="123"/>
      <c r="E46" s="123"/>
      <c r="F46" s="123"/>
      <c r="G46" s="123"/>
      <c r="H46" s="123"/>
      <c r="I46" s="123"/>
      <c r="J46" s="123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44:J44"/>
    <mergeCell ref="B45:J45"/>
    <mergeCell ref="B46:J46"/>
    <mergeCell ref="B37:K37"/>
    <mergeCell ref="A38:D38"/>
    <mergeCell ref="B39:K39"/>
    <mergeCell ref="A40:K40"/>
    <mergeCell ref="B42:J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149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0" t="str">
        <f>'02 Acts - Data'!B6</f>
        <v>ГНБ № 10-1С</v>
      </c>
      <c r="G17" s="110"/>
      <c r="H17" s="110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5" t="str">
        <f>'02 Acts - Data'!B26</f>
        <v>Труба "ПЭ тип "С" 110*6,3 техническая (L012) (паспорт  качества от 23.08.2021г.)</v>
      </c>
      <c r="F22" s="125"/>
      <c r="G22" s="125"/>
      <c r="H22" s="125"/>
      <c r="I22" s="125"/>
      <c r="J22" s="12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08" t="s">
        <v>88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151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0" t="str">
        <f>'02 Acts - Data'!B6</f>
        <v>ГНБ № 10-1С</v>
      </c>
      <c r="F17" s="110"/>
      <c r="G17" s="110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0">
        <f>'02 Acts - Data'!H31</f>
        <v>6.609230769230769</v>
      </c>
      <c r="F20" s="140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0" t="str">
        <f>'02 Acts - Data'!B16</f>
        <v>АО "МОСИНЖПРОЕКТ"</v>
      </c>
      <c r="E22" s="110"/>
      <c r="F22" s="110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20" t="str">
        <f>'02 Acts - Data'!B26</f>
        <v>Труба "ПЭ тип "С" 110*6,3 техническая (L012) (паспорт  качества от 23.08.2021г.)</v>
      </c>
      <c r="F24" s="120"/>
      <c r="G24" s="120"/>
      <c r="H24" s="120"/>
      <c r="I24" s="120"/>
      <c r="J24" s="120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0" t="str">
        <f>'02 Acts - Data'!B8</f>
        <v>01.06.2024 г.</v>
      </c>
      <c r="E26" s="110"/>
      <c r="F26" s="110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0" t="str">
        <f>'02 Acts - Data'!B9</f>
        <v>03.06.2024 г.</v>
      </c>
      <c r="E28" s="110"/>
      <c r="F28" s="110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08" t="s">
        <v>88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5" t="str">
        <f>'02 Acts - Data'!B11</f>
        <v>03.06.2024 г.</v>
      </c>
      <c r="D4" s="145"/>
      <c r="E4" s="145"/>
      <c r="F4" s="22"/>
      <c r="G4" s="146"/>
      <c r="H4" s="146"/>
      <c r="I4" s="146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08" t="s">
        <v>158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57" ht="15.75" customHeight="1" x14ac:dyDescent="0.3">
      <c r="A7" s="108" t="s">
        <v>159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1" t="str">
        <f>'02 Acts - Data'!A31</f>
        <v>ГНБ № 10-1С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</row>
    <row r="12" spans="1:257" ht="15.75" customHeight="1" x14ac:dyDescent="0.3">
      <c r="A12" s="62" t="s">
        <v>162</v>
      </c>
      <c r="B12" s="142" t="s">
        <v>163</v>
      </c>
      <c r="C12" s="142"/>
      <c r="D12" s="142"/>
      <c r="E12" s="142"/>
      <c r="F12" s="142"/>
      <c r="G12" s="142"/>
      <c r="H12" s="142"/>
      <c r="I12" s="142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3" t="str">
        <f>'02 Acts - Data'!B26</f>
        <v>Труба "ПЭ тип "С" 110*6,3 техническая (L012) (паспорт  качества от 23.08.2021г.)</v>
      </c>
      <c r="D13" s="143"/>
      <c r="E13" s="143"/>
      <c r="F13" s="143"/>
      <c r="G13" s="143"/>
      <c r="H13" s="143"/>
      <c r="I13" s="143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4" t="s">
        <v>168</v>
      </c>
      <c r="C14" s="144"/>
      <c r="D14" s="144"/>
      <c r="E14" s="144"/>
      <c r="F14" s="144"/>
      <c r="G14" s="144"/>
      <c r="H14" s="144"/>
      <c r="I14" s="144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3" t="str">
        <f>'02 Acts - Data'!B27</f>
        <v xml:space="preserve"> d=110 мм.</v>
      </c>
      <c r="D15" s="143"/>
      <c r="E15" s="143"/>
      <c r="F15" s="143"/>
      <c r="G15" s="143"/>
      <c r="H15" s="143"/>
      <c r="I15" s="143"/>
      <c r="J15" s="65" t="s">
        <v>170</v>
      </c>
      <c r="K15" s="70">
        <f>'02 Acts - Data'!D31*2</f>
        <v>4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09"/>
      <c r="Q17" s="109"/>
      <c r="R17" s="109"/>
      <c r="S17" s="109"/>
      <c r="T17" s="109"/>
      <c r="U17" s="109"/>
      <c r="V17" s="109"/>
      <c r="W17" s="109"/>
      <c r="X17" s="109"/>
      <c r="Y17" s="109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C3:I3"/>
    <mergeCell ref="C4:E4"/>
    <mergeCell ref="G4:I4"/>
    <mergeCell ref="A6:K6"/>
    <mergeCell ref="A7:K7"/>
    <mergeCell ref="P15:Z15"/>
    <mergeCell ref="P17:Y17"/>
    <mergeCell ref="A11:K11"/>
    <mergeCell ref="B12:I12"/>
    <mergeCell ref="C13:I13"/>
    <mergeCell ref="B14:I14"/>
    <mergeCell ref="C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339966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430</v>
      </c>
      <c r="B2" s="72" t="s">
        <v>433</v>
      </c>
      <c r="C2" s="73"/>
      <c r="D2" s="73"/>
      <c r="E2" s="73"/>
    </row>
    <row r="3" spans="1:5" ht="18" customHeight="1" x14ac:dyDescent="0.25">
      <c r="A3" s="71" t="s">
        <v>173</v>
      </c>
      <c r="B3" s="74">
        <f>IFERROR(IF(LEN(INDEX('00 DATA'!$B:$B,MATCH("profile_length",'00 DATA'!$A:$A,0))&amp;"")=0,"",INDEX('00 DATA'!$B:$B,MATCH("profile_length",'00 DATA'!$A:$A,0))),"")</f>
        <v>42.96</v>
      </c>
      <c r="C3" s="73">
        <f>IFERROR(IF(LEN(INDEX('00 DATA'!$B:$B,MATCH("pipe_count",'00 DATA'!$A:$A,0))&amp;"")=0,"",INDEX('00 DATA'!$B:$B,MATCH("pipe_count",'00 DATA'!$A:$A,0))),"")</f>
        <v>2</v>
      </c>
      <c r="D3" s="73"/>
      <c r="E3" s="73"/>
    </row>
    <row r="4" spans="1:5" ht="18" customHeight="1" x14ac:dyDescent="0.25">
      <c r="A4" s="71" t="s">
        <v>174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431</v>
      </c>
      <c r="B5" s="75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432</v>
      </c>
      <c r="B6" s="73" t="str">
        <f>CONCATENATE(C6," ",D6," ",E6)</f>
        <v xml:space="preserve">  </v>
      </c>
      <c r="C6" s="73" t="str">
        <f>IFERROR(IF(LEN(INDEX('00 DATA'!$B:$B,MATCH("start_date_day",'00 DATA'!$A:$A,0))&amp;"")=0,"",INDEX('00 DATA'!$B:$B,MATCH("start_date_day",'00 DATA'!$A:$A,0))),"")</f>
        <v/>
      </c>
      <c r="D6" s="73" t="str">
        <f>IFERROR(IF(LEN(INDEX('00 DATA'!$B:$B,MATCH("start_date_month",'00 DATA'!$A:$A,0))&amp;"")=0,"",INDEX('00 DATA'!$B:$B,MATCH("start_date_month",'00 DATA'!$A:$A,0))),"")</f>
        <v/>
      </c>
      <c r="E6" s="73" t="str">
        <f>IFERROR(IF(LEN(INDEX('00 DATA'!$B:$B,MATCH("start_date_year",'00 DATA'!$A:$A,0))&amp;"")=0,"",INDEX('00 DATA'!$B:$B,MATCH("start_date_year",'00 DATA'!$A:$A,0))),"")</f>
        <v/>
      </c>
    </row>
    <row r="7" spans="1:5" ht="18" customHeight="1" x14ac:dyDescent="0.25">
      <c r="A7" s="71" t="s">
        <v>175</v>
      </c>
      <c r="B7" s="73" t="str">
        <f>CONCATENATE(C7," ",D7," ",E7)</f>
        <v xml:space="preserve">  </v>
      </c>
      <c r="C7" s="73" t="str">
        <f>IFERROR(IF(LEN(INDEX('00 DATA'!$B:$B,MATCH("end_date_day",'00 DATA'!$A:$A,0))&amp;"")=0,"",INDEX('00 DATA'!$B:$B,MATCH("end_date_day",'00 DATA'!$A:$A,0))),"")</f>
        <v/>
      </c>
      <c r="D7" s="73" t="str">
        <f>IFERROR(IF(LEN(INDEX('00 DATA'!$B:$B,MATCH("end_date_month",'00 DATA'!$A:$A,0))&amp;"")=0,"",INDEX('00 DATA'!$B:$B,MATCH("end_date_month",'00 DATA'!$A:$A,0))),"")</f>
        <v/>
      </c>
      <c r="E7" s="73" t="str">
        <f>IFERROR(IF(LEN(INDEX('00 DATA'!$B:$B,MATCH("end_date_year",'00 DATA'!$A:$A,0))&amp;"")=0,"",INDEX('00 DATA'!$B:$B,MATCH("end_date_year",'00 DATA'!$A:$A,0))),"")</f>
        <v/>
      </c>
    </row>
    <row r="8" spans="1:5" ht="18" customHeight="1" x14ac:dyDescent="0.25">
      <c r="A8" s="71" t="s">
        <v>176</v>
      </c>
      <c r="B8" s="73" t="str">
        <f>CONCATENATE(C8," ",D8," ",E8)</f>
        <v xml:space="preserve">  </v>
      </c>
      <c r="C8" s="73" t="str">
        <f>IFERROR(IF(LEN(INDEX('00 DATA'!$B:$B,MATCH("act_date_day",'00 DATA'!$A:$A,0))&amp;"")=0,"",INDEX('00 DATA'!$B:$B,MATCH("act_date_day",'00 DATA'!$A:$A,0))),"")</f>
        <v/>
      </c>
      <c r="D8" s="73" t="str">
        <f>IFERROR(IF(LEN(INDEX('00 DATA'!$B:$B,MATCH("act_date_month",'00 DATA'!$A:$A,0))&amp;"")=0,"",INDEX('00 DATA'!$B:$B,MATCH("act_date_month",'00 DATA'!$A:$A,0))),"")</f>
        <v/>
      </c>
      <c r="E8" s="73" t="str">
        <f>IFERROR(IF(LEN(INDEX('00 DATA'!$B:$B,MATCH("act_date_year",'00 DATA'!$A:$A,0))&amp;"")=0,"",INDEX('00 DATA'!$B:$B,MATCH("act_date_year",'00 DATA'!$A:$A,0))),"")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339966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178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49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</row>
    <row r="5" spans="1:43" ht="10.5" customHeight="1" x14ac:dyDescent="0.25">
      <c r="A5" s="150" t="s">
        <v>180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</row>
    <row r="6" spans="1:43" ht="23.25" customHeight="1" x14ac:dyDescent="0.25">
      <c r="A6" s="151" t="s">
        <v>181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</row>
    <row r="7" spans="1:43" ht="40.5" customHeight="1" x14ac:dyDescent="0.25">
      <c r="A7" s="149" t="str">
        <f>IFERROR(IF(LEN(INDEX('00 DATA'!$B:$B,MATCH("org_customer_full_aosr",'00 DATA'!$A:$A,0))&amp;"")=0,"",INDEX('00 DATA'!$B:$B,MATCH("org_customer_full_aosr",'00 DATA'!$A:$A,0))),"")</f>
        <v/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ht="40.5" customHeight="1" x14ac:dyDescent="0.25">
      <c r="A8" s="150" t="s">
        <v>182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</row>
    <row r="9" spans="1:43" ht="12" customHeight="1" x14ac:dyDescent="0.25">
      <c r="A9" s="71" t="s">
        <v>183</v>
      </c>
    </row>
    <row r="10" spans="1:43" ht="51.75" customHeight="1" x14ac:dyDescent="0.25">
      <c r="A10" s="149" t="str">
        <f>IFERROR(IF(LEN(INDEX('00 DATA'!$B:$B,MATCH("org_contractor_full_aosr",'00 DATA'!$A:$A,0))&amp;"")=0,"",INDEX('00 DATA'!$B:$B,MATCH("org_contractor_full_aosr",'00 DATA'!$A:$A,0))),"")</f>
        <v/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</row>
    <row r="11" spans="1:43" ht="42" customHeight="1" x14ac:dyDescent="0.25">
      <c r="A11" s="150" t="s">
        <v>184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</row>
    <row r="12" spans="1:43" ht="15.75" customHeight="1" x14ac:dyDescent="0.25">
      <c r="A12" s="71" t="s">
        <v>185</v>
      </c>
    </row>
    <row r="13" spans="1:43" ht="43.5" customHeight="1" x14ac:dyDescent="0.25">
      <c r="A13" s="149" t="str">
        <f>IFERROR(IF(LEN(INDEX('00 DATA'!$B:$B,MATCH("org_designer_full_aosr",'00 DATA'!$A:$A,0))&amp;"")=0,"",INDEX('00 DATA'!$B:$B,MATCH("org_designer_full_aosr",'00 DATA'!$A:$A,0))),"")</f>
        <v/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</row>
    <row r="14" spans="1:43" ht="27.75" customHeight="1" x14ac:dyDescent="0.25">
      <c r="A14" s="150" t="s">
        <v>186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1:43" ht="10.5" customHeight="1" x14ac:dyDescent="0.25">
      <c r="A15" s="152" t="s">
        <v>61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12.75" customHeight="1" x14ac:dyDescent="0.25">
      <c r="A16" s="153" t="s">
        <v>187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47" t="str">
        <f>IFERROR(IF(LEN(INDEX('00 DATA'!$B:$B,MATCH("aosr_page1_caption",'00 DATA'!$A:$A,0))&amp;"")=0,"",INDEX('00 DATA'!$B:$B,MATCH("aosr_page1_caption",'00 DATA'!$A:$A,0))),"")</f>
        <v>1 (ЗП ГНБ №)</v>
      </c>
      <c r="D18" s="147"/>
      <c r="E18" s="147"/>
      <c r="F18" s="147"/>
      <c r="G18" s="147"/>
      <c r="H18" s="147"/>
      <c r="I18" s="147"/>
      <c r="J18" s="147"/>
      <c r="K18" s="147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8" t="str">
        <f>'13 AOSR - Data'!C6</f>
        <v/>
      </c>
      <c r="Z18" s="148"/>
      <c r="AA18" s="71" t="s">
        <v>189</v>
      </c>
      <c r="AB18" s="148" t="str">
        <f>'13 AOSR - Data'!D6</f>
        <v/>
      </c>
      <c r="AC18" s="148"/>
      <c r="AD18" s="148"/>
      <c r="AE18" s="148"/>
      <c r="AF18" s="71"/>
      <c r="AG18" s="148" t="str">
        <f>'13 AOSR - Data'!E6</f>
        <v/>
      </c>
      <c r="AH18" s="148"/>
      <c r="AI18" s="148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1" t="s">
        <v>192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</row>
    <row r="22" spans="1:257" ht="27" customHeight="1" x14ac:dyDescent="0.25">
      <c r="A22" s="154" t="str">
        <f>IFERROR(IF(LEN(INDEX('00 DATA'!$B:$B,MATCH("tech_full_aosr",'00 DATA'!$A:$A,0))&amp;"")=0,"",INDEX('00 DATA'!$B:$B,MATCH("tech_full_aosr",'00 DATA'!$A:$A,0))),"")</f>
        <v/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</row>
    <row r="23" spans="1:257" ht="23.25" customHeight="1" x14ac:dyDescent="0.25">
      <c r="A23" s="155" t="s">
        <v>193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Q23" s="83" t="s">
        <v>194</v>
      </c>
    </row>
    <row r="24" spans="1:257" ht="12" customHeight="1" x14ac:dyDescent="0.25">
      <c r="A24" s="149" t="str">
        <f>IFERROR(IF(LEN(INDEX('00 DATA'!$B:$B,MATCH("sign1_full_aosr",'00 DATA'!$A:$A,0))&amp;"")=0,"",INDEX('00 DATA'!$B:$B,MATCH("sign1_full_aosr",'00 DATA'!$A:$A,0))),"")</f>
        <v/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Q24" s="83" t="s">
        <v>195</v>
      </c>
    </row>
    <row r="25" spans="1:257" ht="42" customHeight="1" x14ac:dyDescent="0.25">
      <c r="A25" s="150" t="s">
        <v>196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</row>
    <row r="26" spans="1:257" ht="12" customHeight="1" x14ac:dyDescent="0.25">
      <c r="A26" s="71" t="s">
        <v>197</v>
      </c>
    </row>
    <row r="27" spans="1:257" ht="33.75" customHeight="1" x14ac:dyDescent="0.25">
      <c r="A27" s="149" t="str">
        <f>IFERROR(IF(LEN(INDEX('00 DATA'!$B:$B,MATCH("sign2_full_aosr",'00 DATA'!$A:$A,0))&amp;"")=0,"",INDEX('00 DATA'!$B:$B,MATCH("sign2_full_aosr",'00 DATA'!$A:$A,0))),"")</f>
        <v/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1:257" ht="9" customHeight="1" x14ac:dyDescent="0.25">
      <c r="A28" s="150" t="s">
        <v>198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</row>
    <row r="29" spans="1:257" ht="24.75" customHeight="1" x14ac:dyDescent="0.25">
      <c r="A29" s="151" t="s">
        <v>199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</row>
    <row r="30" spans="1:257" ht="33.75" customHeight="1" x14ac:dyDescent="0.25">
      <c r="A30" s="149" t="str">
        <f>IFERROR(IF(LEN(INDEX('00 DATA'!$B:$B,MATCH("sign2_full_aosr",'00 DATA'!$A:$A,0))&amp;"")=0,"",INDEX('00 DATA'!$B:$B,MATCH("sign2_full_aosr",'00 DATA'!$A:$A,0))),"")</f>
        <v/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50" t="s">
        <v>200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257" ht="48" customHeight="1" x14ac:dyDescent="0.25">
      <c r="A32" s="156" t="s">
        <v>201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</row>
    <row r="33" spans="1:257" ht="15" customHeight="1" x14ac:dyDescent="0.25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50" t="s">
        <v>202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</row>
    <row r="35" spans="1:257" ht="39.75" customHeight="1" x14ac:dyDescent="0.25">
      <c r="A35" s="156" t="s">
        <v>203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</row>
    <row r="36" spans="1:257" ht="15" customHeight="1" x14ac:dyDescent="0.25">
      <c r="A36" s="157" t="str">
        <f>IFERROR(IF(LEN(INDEX('00 DATA'!$B:$B,MATCH("sign3_full_aosr",'00 DATA'!$A:$A,0))&amp;"")=0,"",INDEX('00 DATA'!$B:$B,MATCH("sign3_full_aosr",'00 DATA'!$A:$A,0))),"")</f>
        <v/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257" ht="16.5" customHeight="1" x14ac:dyDescent="0.25">
      <c r="A37" s="158" t="s">
        <v>204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</row>
    <row r="38" spans="1:257" ht="12.75" customHeight="1" x14ac:dyDescent="0.25">
      <c r="A38" s="85" t="s">
        <v>205</v>
      </c>
    </row>
    <row r="39" spans="1:257" ht="12" customHeight="1" x14ac:dyDescent="0.25">
      <c r="A39" s="159" t="str">
        <f>IFERROR(IF(LEN(INDEX('00 DATA'!$B:$B,MATCH("aosr_object_caption",'00 DATA'!$A:$A,0))&amp;"")=0,"",INDEX('00 DATA'!$B:$B,MATCH("aosr_object_caption",'00 DATA'!$A:$A,0))),"")</f>
        <v xml:space="preserve">Закрытого перехода методом ГНБ № по адресу: 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</row>
    <row r="40" spans="1:257" ht="12" customHeight="1" x14ac:dyDescent="0.25">
      <c r="A40" s="85" t="s">
        <v>206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49" t="str">
        <f>A4</f>
        <v>ГНБ 10-1С г. Москва, ул. Кантемировская, д.60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</row>
    <row r="42" spans="1:257" ht="10.5" customHeight="1" x14ac:dyDescent="0.25">
      <c r="A42" s="150" t="s">
        <v>207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</row>
    <row r="43" spans="1:257" ht="12" customHeight="1" x14ac:dyDescent="0.25">
      <c r="A43" s="85" t="s">
        <v>208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9" t="str">
        <f>IFERROR(IF(LEN(INDEX('00 DATA'!$B:$B,MATCH("project_doc_line",'00 DATA'!$A:$A,0))&amp;"")=0,"",INDEX('00 DATA'!$B:$B,MATCH("project_doc_line",'00 DATA'!$A:$A,0))),"")</f>
        <v/>
      </c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50" t="s">
        <v>210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</row>
    <row r="47" spans="1:257" ht="13.5" customHeight="1" x14ac:dyDescent="0.25">
      <c r="A47" s="87" t="s">
        <v>211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9" t="s">
        <v>212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213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1" t="s">
        <v>214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49" t="str">
        <f>CONCATENATE(A45,", ",A41)</f>
        <v>, ГНБ 10-1С г. Москва, ул. Кантемировская, д.60</v>
      </c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60" t="s">
        <v>215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9" t="s">
        <v>216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60" t="s">
        <v>217</v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218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8" t="s">
        <v>220</v>
      </c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221</v>
      </c>
      <c r="B60" s="71"/>
      <c r="C60" s="71"/>
      <c r="D60" s="71"/>
      <c r="E60" s="71"/>
      <c r="F60" s="71"/>
      <c r="G60" s="71"/>
      <c r="H60" s="161">
        <v>4</v>
      </c>
      <c r="I60" s="161"/>
      <c r="J60" s="71" t="s">
        <v>222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223</v>
      </c>
    </row>
    <row r="63" spans="1:257" ht="12" customHeight="1" x14ac:dyDescent="0.25">
      <c r="A63" s="162" t="str">
        <f>'15 AOSR - Page 2'!A64</f>
        <v>1. Исполнительный чертеж ЗП № (по адресу: )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spans="1:257" ht="12" customHeight="1" x14ac:dyDescent="0.25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spans="1:257" ht="9.75" customHeight="1" x14ac:dyDescent="0.25">
      <c r="A65" s="163" t="s">
        <v>224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50" t="s">
        <v>225</v>
      </c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</row>
    <row r="68" spans="1:257" ht="13.5" customHeight="1" x14ac:dyDescent="0.25">
      <c r="A68" s="71" t="s">
        <v>226</v>
      </c>
    </row>
    <row r="69" spans="1:257" ht="12" customHeight="1" x14ac:dyDescent="0.25">
      <c r="A69" s="71" t="s">
        <v>227</v>
      </c>
    </row>
    <row r="70" spans="1:257" ht="35.25" customHeight="1" x14ac:dyDescent="0.3">
      <c r="A70" s="148" t="str">
        <f>IFERROR(IF(LEN(INDEX('00 DATA'!$B:$B,MATCH("tech_name",'00 DATA'!$A:$A,0))&amp;"")=0,"",INDEX('00 DATA'!$B:$B,MATCH("tech_name",'00 DATA'!$A:$A,0))),"")</f>
        <v/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8"/>
      <c r="AC70" s="148"/>
      <c r="AD70" s="148"/>
      <c r="AE70" s="148"/>
      <c r="AF70" s="148"/>
      <c r="AG70" s="148"/>
      <c r="AH70" s="148"/>
      <c r="AI70" s="148"/>
      <c r="AJ70" s="148"/>
    </row>
    <row r="71" spans="1:257" ht="10.5" customHeight="1" x14ac:dyDescent="0.25">
      <c r="A71" s="158" t="s">
        <v>228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60" t="s">
        <v>229</v>
      </c>
      <c r="AC71" s="160"/>
      <c r="AD71" s="160"/>
      <c r="AE71" s="160"/>
      <c r="AF71" s="160"/>
      <c r="AG71" s="160"/>
      <c r="AH71" s="160"/>
      <c r="AI71" s="160"/>
      <c r="AJ71" s="160"/>
    </row>
    <row r="72" spans="1:257" ht="11.25" customHeight="1" x14ac:dyDescent="0.25">
      <c r="A72" s="156" t="s">
        <v>230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</row>
    <row r="73" spans="1:257" ht="33" customHeight="1" x14ac:dyDescent="0.3">
      <c r="A73" s="148" t="str">
        <f>IFERROR(IF(LEN(INDEX('00 DATA'!$B:$B,MATCH("sign1_name",'00 DATA'!$A:$A,0))&amp;"")=0,"",INDEX('00 DATA'!$B:$B,MATCH("sign1_name",'00 DATA'!$A:$A,0))),"")</f>
        <v/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58" t="s">
        <v>228</v>
      </c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60" t="s">
        <v>229</v>
      </c>
      <c r="AC74" s="160"/>
      <c r="AD74" s="160"/>
      <c r="AE74" s="160"/>
      <c r="AF74" s="160"/>
      <c r="AG74" s="160"/>
      <c r="AH74" s="160"/>
      <c r="AI74" s="160"/>
      <c r="AJ74" s="160"/>
    </row>
    <row r="75" spans="1:257" ht="10.5" customHeight="1" x14ac:dyDescent="0.25">
      <c r="A75" s="99" t="s">
        <v>197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8" t="str">
        <f>IFERROR(IF(LEN(INDEX('00 DATA'!$B:$B,MATCH("sign2_name",'00 DATA'!$A:$A,0))&amp;"")=0,"",INDEX('00 DATA'!$B:$B,MATCH("sign2_name",'00 DATA'!$A:$A,0))),"")</f>
        <v/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8"/>
      <c r="AC76" s="148"/>
      <c r="AD76" s="148"/>
      <c r="AE76" s="148"/>
      <c r="AF76" s="148"/>
      <c r="AG76" s="148"/>
      <c r="AH76" s="148"/>
      <c r="AI76" s="148"/>
      <c r="AJ76" s="148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58" t="s">
        <v>228</v>
      </c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60" t="s">
        <v>229</v>
      </c>
      <c r="AC77" s="160"/>
      <c r="AD77" s="160"/>
      <c r="AE77" s="160"/>
      <c r="AF77" s="160"/>
      <c r="AG77" s="160"/>
      <c r="AH77" s="160"/>
      <c r="AI77" s="160"/>
      <c r="AJ77" s="160"/>
    </row>
    <row r="78" spans="1:257" ht="12.75" customHeight="1" x14ac:dyDescent="0.25">
      <c r="A78" s="99" t="s">
        <v>231</v>
      </c>
    </row>
    <row r="79" spans="1:257" ht="10.5" customHeight="1" x14ac:dyDescent="0.25">
      <c r="A79" s="99" t="s">
        <v>232</v>
      </c>
    </row>
    <row r="80" spans="1:257" ht="21.75" customHeight="1" x14ac:dyDescent="0.3">
      <c r="A80" s="148" t="str">
        <f>IFERROR(IF(LEN(INDEX('00 DATA'!$B:$B,MATCH("sign2_name",'00 DATA'!$A:$A,0))&amp;"")=0,"",INDEX('00 DATA'!$B:$B,MATCH("sign2_name",'00 DATA'!$A:$A,0))),"")</f>
        <v/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8"/>
      <c r="AC80" s="148"/>
      <c r="AD80" s="148"/>
      <c r="AE80" s="148"/>
      <c r="AF80" s="148"/>
      <c r="AG80" s="148"/>
      <c r="AH80" s="148"/>
      <c r="AI80" s="148"/>
      <c r="AJ80" s="148"/>
    </row>
    <row r="81" spans="1:36" ht="8.25" customHeight="1" x14ac:dyDescent="0.25">
      <c r="A81" s="158" t="s">
        <v>228</v>
      </c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60" t="s">
        <v>229</v>
      </c>
      <c r="AC81" s="160"/>
      <c r="AD81" s="160"/>
      <c r="AE81" s="160"/>
      <c r="AF81" s="160"/>
      <c r="AG81" s="160"/>
      <c r="AH81" s="160"/>
      <c r="AI81" s="160"/>
      <c r="AJ81" s="160"/>
    </row>
    <row r="82" spans="1:36" ht="37.5" customHeight="1" x14ac:dyDescent="0.25">
      <c r="A82" s="164" t="s">
        <v>201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</row>
    <row r="83" spans="1:36" ht="15" customHeight="1" x14ac:dyDescent="0.3">
      <c r="A83" s="148" t="str">
        <f>IFERROR(IF(LEN(INDEX('00 DATA'!$B:$B,MATCH("designer_name",'00 DATA'!$A:$A,0))&amp;"")=0,"",INDEX('00 DATA'!$B:$B,MATCH("designer_name",'00 DATA'!$A:$A,0))),"")</f>
        <v/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8"/>
      <c r="AC83" s="148"/>
      <c r="AD83" s="148"/>
      <c r="AE83" s="148"/>
      <c r="AF83" s="148"/>
      <c r="AG83" s="148"/>
      <c r="AH83" s="148"/>
      <c r="AI83" s="148"/>
      <c r="AJ83" s="148"/>
    </row>
    <row r="84" spans="1:36" ht="8.25" customHeight="1" x14ac:dyDescent="0.25">
      <c r="A84" s="158" t="s">
        <v>228</v>
      </c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60" t="s">
        <v>229</v>
      </c>
      <c r="AC84" s="160"/>
      <c r="AD84" s="160"/>
      <c r="AE84" s="160"/>
      <c r="AF84" s="160"/>
      <c r="AG84" s="160"/>
      <c r="AH84" s="160"/>
      <c r="AI84" s="160"/>
      <c r="AJ84" s="160"/>
    </row>
    <row r="85" spans="1:36" ht="34.5" customHeight="1" x14ac:dyDescent="0.25">
      <c r="A85" s="164" t="s">
        <v>233</v>
      </c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</row>
    <row r="86" spans="1:36" ht="22.5" customHeight="1" x14ac:dyDescent="0.3">
      <c r="A86" s="148" t="str">
        <f>IFERROR(IF(LEN(INDEX('00 DATA'!$B:$B,MATCH("sign3_name",'00 DATA'!$A:$A,0))&amp;"")=0,"",INDEX('00 DATA'!$B:$B,MATCH("sign3_name",'00 DATA'!$A:$A,0))),"")</f>
        <v/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8"/>
      <c r="AC86" s="148"/>
      <c r="AD86" s="148"/>
      <c r="AE86" s="148"/>
      <c r="AF86" s="148"/>
      <c r="AG86" s="148"/>
      <c r="AH86" s="148"/>
      <c r="AI86" s="148"/>
      <c r="AJ86" s="148"/>
    </row>
    <row r="87" spans="1:36" ht="12" customHeight="1" x14ac:dyDescent="0.25">
      <c r="A87" s="158" t="s">
        <v>228</v>
      </c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60" t="s">
        <v>229</v>
      </c>
      <c r="AC87" s="160"/>
      <c r="AD87" s="160"/>
      <c r="AE87" s="160"/>
      <c r="AF87" s="160"/>
      <c r="AG87" s="160"/>
      <c r="AH87" s="160"/>
      <c r="AI87" s="160"/>
      <c r="AJ87" s="160"/>
    </row>
    <row r="88" spans="1:36" ht="9" customHeight="1" x14ac:dyDescent="0.25"/>
    <row r="89" spans="1:36" ht="12" customHeight="1" x14ac:dyDescent="0.25"/>
  </sheetData>
  <mergeCells count="74"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  <mergeCell ref="A77:O77"/>
    <mergeCell ref="AB77:AJ77"/>
    <mergeCell ref="A80:O80"/>
    <mergeCell ref="AB80:AJ80"/>
    <mergeCell ref="A81:O81"/>
    <mergeCell ref="AB81:AJ81"/>
    <mergeCell ref="A72:AJ72"/>
    <mergeCell ref="A73:O73"/>
    <mergeCell ref="A74:O74"/>
    <mergeCell ref="AB74:AJ74"/>
    <mergeCell ref="A76:O76"/>
    <mergeCell ref="AB76:AJ76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</mergeCells>
  <pageMargins left="0.78749999999999998" right="0.27569444444444402" top="0.39374999999999999" bottom="0.39374999999999999" header="0.511811023622047" footer="0.511811023622047"/>
  <pageSetup paperSize="9" scale="89" orientation="portrait" horizontalDpi="300" verticalDpi="300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339966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234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49" t="str">
        <f>'14 AOSR - Page 1'!A4</f>
        <v>ГНБ 10-1С г. Москва, ул. Кантемировская, д.60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</row>
    <row r="5" spans="1:43" ht="9" customHeight="1" x14ac:dyDescent="0.25">
      <c r="A5" s="150" t="s">
        <v>180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</row>
    <row r="6" spans="1:43" ht="23.25" customHeight="1" x14ac:dyDescent="0.25">
      <c r="A6" s="151" t="s">
        <v>181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</row>
    <row r="7" spans="1:43" ht="40.5" customHeight="1" x14ac:dyDescent="0.25">
      <c r="A7" s="149" t="str">
        <f>'14 AOSR - Page 1'!A7</f>
        <v/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ht="46.5" customHeight="1" x14ac:dyDescent="0.25">
      <c r="A8" s="150" t="s">
        <v>182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</row>
    <row r="9" spans="1:43" ht="12" customHeight="1" x14ac:dyDescent="0.25">
      <c r="A9" s="71" t="s">
        <v>183</v>
      </c>
    </row>
    <row r="10" spans="1:43" ht="48.75" customHeight="1" x14ac:dyDescent="0.25">
      <c r="A10" s="165" t="str">
        <f>'14 AOSR - Page 1'!A10</f>
        <v/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43" ht="36" customHeight="1" x14ac:dyDescent="0.25">
      <c r="A11" s="150" t="s">
        <v>184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</row>
    <row r="12" spans="1:43" ht="15" customHeight="1" x14ac:dyDescent="0.25">
      <c r="A12" s="71" t="s">
        <v>185</v>
      </c>
    </row>
    <row r="13" spans="1:43" ht="37.5" customHeight="1" x14ac:dyDescent="0.25">
      <c r="A13" s="165" t="str">
        <f>'14 AOSR - Page 1'!A13</f>
        <v/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43" ht="27.75" customHeight="1" x14ac:dyDescent="0.25">
      <c r="A14" s="150" t="s">
        <v>186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1:43" ht="10.5" customHeight="1" x14ac:dyDescent="0.25">
      <c r="A15" s="152" t="s">
        <v>61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12.75" customHeight="1" x14ac:dyDescent="0.25">
      <c r="A16" s="153" t="s">
        <v>128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47" t="str">
        <f>IFERROR(IF(LEN(INDEX('00 DATA'!$B:$B,MATCH("aosr_page2_caption",'00 DATA'!$A:$A,0))&amp;"")=0,"",INDEX('00 DATA'!$B:$B,MATCH("aosr_page2_caption",'00 DATA'!$A:$A,0))),"")</f>
        <v>2 (ЗП ГНБ №)</v>
      </c>
      <c r="D18" s="147"/>
      <c r="E18" s="147"/>
      <c r="F18" s="147"/>
      <c r="G18" s="147"/>
      <c r="H18" s="147"/>
      <c r="I18" s="147"/>
      <c r="J18" s="147"/>
      <c r="K18" s="147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8" t="str">
        <f>'13 AOSR - Data'!C8</f>
        <v/>
      </c>
      <c r="Z18" s="148"/>
      <c r="AA18" s="71" t="s">
        <v>189</v>
      </c>
      <c r="AB18" s="148" t="str">
        <f>'13 AOSR - Data'!D8</f>
        <v/>
      </c>
      <c r="AC18" s="148"/>
      <c r="AD18" s="148"/>
      <c r="AE18" s="148"/>
      <c r="AF18" s="71"/>
      <c r="AG18" s="148" t="str">
        <f>'13 AOSR - Data'!E8</f>
        <v/>
      </c>
      <c r="AH18" s="148"/>
      <c r="AI18" s="148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1" t="s">
        <v>192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</row>
    <row r="22" spans="1:257" ht="27" customHeight="1" x14ac:dyDescent="0.25">
      <c r="A22" s="154" t="str">
        <f>'14 AOSR - Page 1'!A22</f>
        <v/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</row>
    <row r="23" spans="1:257" ht="23.25" customHeight="1" x14ac:dyDescent="0.25">
      <c r="A23" s="155" t="s">
        <v>193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</row>
    <row r="24" spans="1:257" ht="12" customHeight="1" x14ac:dyDescent="0.25">
      <c r="A24" s="149" t="str">
        <f>'14 AOSR - Page 1'!A24</f>
        <v/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</row>
    <row r="25" spans="1:257" ht="39" customHeight="1" x14ac:dyDescent="0.25">
      <c r="A25" s="150" t="s">
        <v>196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</row>
    <row r="26" spans="1:257" ht="12" customHeight="1" x14ac:dyDescent="0.25">
      <c r="A26" s="71" t="s">
        <v>197</v>
      </c>
    </row>
    <row r="27" spans="1:257" ht="33.75" customHeight="1" x14ac:dyDescent="0.25">
      <c r="A27" s="149" t="str">
        <f>'14 AOSR - Page 1'!A27</f>
        <v/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1:257" ht="9" customHeight="1" x14ac:dyDescent="0.25">
      <c r="A28" s="150" t="s">
        <v>198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</row>
    <row r="29" spans="1:257" ht="24.75" customHeight="1" x14ac:dyDescent="0.25">
      <c r="A29" s="151" t="s">
        <v>199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</row>
    <row r="30" spans="1:257" ht="33.75" customHeight="1" x14ac:dyDescent="0.25">
      <c r="A30" s="149" t="str">
        <f>'14 AOSR - Page 1'!A30</f>
        <v/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50" t="s">
        <v>200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257" ht="48" customHeight="1" x14ac:dyDescent="0.25">
      <c r="A32" s="156" t="s">
        <v>201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</row>
    <row r="33" spans="1:257" ht="15" customHeight="1" x14ac:dyDescent="0.25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50" t="s">
        <v>202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</row>
    <row r="35" spans="1:257" ht="39.75" customHeight="1" x14ac:dyDescent="0.25">
      <c r="A35" s="156" t="s">
        <v>235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</row>
    <row r="36" spans="1:257" ht="20.25" customHeight="1" x14ac:dyDescent="0.25">
      <c r="A36" s="157" t="str">
        <f>IFERROR(IF(LEN(INDEX('00 DATA'!$B:$B,MATCH("sign3_full_aosr",'00 DATA'!$A:$A,0))&amp;"")=0,"",INDEX('00 DATA'!$B:$B,MATCH("sign3_full_aosr",'00 DATA'!$A:$A,0))),"")</f>
        <v/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257" ht="18" customHeight="1" x14ac:dyDescent="0.25">
      <c r="A37" s="158" t="s">
        <v>204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</row>
    <row r="38" spans="1:257" ht="11.25" customHeight="1" x14ac:dyDescent="0.25">
      <c r="A38" s="71" t="s">
        <v>236</v>
      </c>
    </row>
    <row r="39" spans="1:257" ht="12" customHeight="1" x14ac:dyDescent="0.3">
      <c r="A39" s="148" t="str">
        <f>IFERROR(IF(LEN(INDEX('00 DATA'!$B:$B,MATCH("sign3_org_name",'00 DATA'!$A:$A,0))&amp;"")=0,"",INDEX('00 DATA'!$B:$B,MATCH("sign3_org_name",'00 DATA'!$A:$A,0))),"")</f>
        <v/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257" ht="10.5" customHeight="1" x14ac:dyDescent="0.25">
      <c r="A40" s="158" t="s">
        <v>237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</row>
    <row r="41" spans="1:257" ht="10.5" customHeight="1" x14ac:dyDescent="0.25">
      <c r="A41" s="71" t="s">
        <v>238</v>
      </c>
    </row>
    <row r="42" spans="1:257" ht="12" customHeight="1" x14ac:dyDescent="0.25">
      <c r="A42" s="71" t="s">
        <v>239</v>
      </c>
    </row>
    <row r="43" spans="1:257" ht="39" customHeight="1" x14ac:dyDescent="0.25">
      <c r="A43" s="167" t="str">
        <f>IFERROR(IF(LEN(INDEX('00 DATA'!$B:$B,MATCH("aosr_work_description",'00 DATA'!$A:$A,0))&amp;"")=0,"",INDEX('00 DATA'!$B:$B,MATCH("aosr_work_description",'00 DATA'!$A:$A,0))),"")</f>
        <v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</row>
    <row r="44" spans="1:257" ht="9.75" customHeight="1" x14ac:dyDescent="0.25">
      <c r="A44" s="150" t="s">
        <v>240</v>
      </c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</row>
    <row r="45" spans="1:257" ht="12" customHeight="1" x14ac:dyDescent="0.25">
      <c r="A45" s="71" t="s">
        <v>241</v>
      </c>
    </row>
    <row r="46" spans="1:257" ht="12" customHeight="1" x14ac:dyDescent="0.25">
      <c r="A46" s="149" t="str">
        <f>'14 AOSR - Page 1'!A45</f>
        <v/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257" ht="15" customHeight="1" x14ac:dyDescent="0.25">
      <c r="A47" s="150" t="s">
        <v>242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</row>
    <row r="48" spans="1:257" ht="15" customHeight="1" x14ac:dyDescent="0.3">
      <c r="A48" s="71" t="s">
        <v>243</v>
      </c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</row>
    <row r="49" spans="1:257" ht="52.5" customHeight="1" x14ac:dyDescent="0.25">
      <c r="A49" s="166" t="str">
        <f>IFERROR(IF(LEN(INDEX('00 DATA'!$B:$B,MATCH("materials_aosr",'00 DATA'!$A:$A,0))&amp;"")=0,"",INDEX('00 DATA'!$B:$B,MATCH("materials_aosr",'00 DATA'!$A:$A,0))),"")</f>
        <v/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spans="1:257" ht="18" customHeight="1" x14ac:dyDescent="0.25">
      <c r="A50" s="150" t="s">
        <v>244</v>
      </c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257" ht="12.75" customHeight="1" x14ac:dyDescent="0.25">
      <c r="A51" s="71" t="s">
        <v>245</v>
      </c>
    </row>
    <row r="52" spans="1:257" ht="12" customHeight="1" x14ac:dyDescent="0.25">
      <c r="A52" s="71" t="s">
        <v>246</v>
      </c>
      <c r="G52" s="169" t="str">
        <f>IFERROR(IF(LEN(INDEX('00 DATA'!$B:$B,MATCH("drawing_caption",'00 DATA'!$A:$A,0))&amp;"")=0,"",INDEX('00 DATA'!$B:$B,MATCH("drawing_caption",'00 DATA'!$A:$A,0))),"")</f>
        <v>Исполнительный чертеж ЗП № (по адресу: )</v>
      </c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</row>
    <row r="53" spans="1:257" ht="12" customHeight="1" x14ac:dyDescent="0.25">
      <c r="A53" s="163" t="s">
        <v>247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</row>
    <row r="54" spans="1:257" ht="13.5" customHeight="1" x14ac:dyDescent="0.3">
      <c r="A54" s="71" t="s">
        <v>248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189</v>
      </c>
      <c r="M54" s="148" t="str">
        <f>'13 AOSR - Data'!C6</f>
        <v/>
      </c>
      <c r="N54" s="148"/>
      <c r="O54" s="71" t="s">
        <v>189</v>
      </c>
      <c r="P54" s="148" t="str">
        <f>'13 AOSR - Data'!D6</f>
        <v/>
      </c>
      <c r="Q54" s="148"/>
      <c r="R54" s="148"/>
      <c r="S54" s="148"/>
      <c r="T54" s="71"/>
      <c r="U54" s="148" t="str">
        <f>'13 AOSR - Data'!E6</f>
        <v/>
      </c>
      <c r="V54" s="148"/>
      <c r="W54" s="148"/>
      <c r="X54" s="71" t="s">
        <v>190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249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189</v>
      </c>
      <c r="M55" s="170" t="str">
        <f>'13 AOSR - Data'!C7</f>
        <v/>
      </c>
      <c r="N55" s="170"/>
      <c r="O55" s="71" t="s">
        <v>189</v>
      </c>
      <c r="P55" s="170" t="str">
        <f>'13 AOSR - Data'!D7</f>
        <v/>
      </c>
      <c r="Q55" s="170"/>
      <c r="R55" s="170"/>
      <c r="S55" s="170"/>
      <c r="T55" s="71"/>
      <c r="U55" s="170" t="str">
        <f>'13 AOSR - Data'!E7</f>
        <v/>
      </c>
      <c r="V55" s="170"/>
      <c r="W55" s="170"/>
      <c r="X55" s="71" t="s">
        <v>190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250</v>
      </c>
      <c r="O57" s="147" t="str">
        <f>A46</f>
        <v/>
      </c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</row>
    <row r="58" spans="1:257" ht="12.75" customHeight="1" x14ac:dyDescent="0.25">
      <c r="A58" s="71" t="s">
        <v>251</v>
      </c>
    </row>
    <row r="59" spans="1:257" ht="12" customHeight="1" x14ac:dyDescent="0.3">
      <c r="A59" s="148" t="str">
        <f>IFERROR(IF(LEN(INDEX('00 DATA'!$B:$B,MATCH("subsequent_works",'00 DATA'!$A:$A,0))&amp;"")=0,"",INDEX('00 DATA'!$B:$B,MATCH("subsequent_works",'00 DATA'!$A:$A,0))),"")</f>
        <v/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257" ht="12" customHeight="1" x14ac:dyDescent="0.25">
      <c r="A60" s="150" t="s">
        <v>252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</row>
    <row r="61" spans="1:257" ht="12.75" customHeight="1" x14ac:dyDescent="0.3">
      <c r="A61" s="71" t="s">
        <v>219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8" t="s">
        <v>220</v>
      </c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</row>
    <row r="62" spans="1:257" ht="15" customHeight="1" x14ac:dyDescent="0.3">
      <c r="A62" s="71" t="s">
        <v>221</v>
      </c>
      <c r="B62" s="71"/>
      <c r="C62" s="71"/>
      <c r="D62" s="71"/>
      <c r="E62" s="71"/>
      <c r="F62" s="71"/>
      <c r="G62" s="71"/>
      <c r="H62" s="148">
        <v>4</v>
      </c>
      <c r="I62" s="148"/>
      <c r="J62" s="71" t="s">
        <v>222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223</v>
      </c>
    </row>
    <row r="64" spans="1:257" ht="12.75" customHeight="1" x14ac:dyDescent="0.25">
      <c r="A64" s="162" t="str">
        <f>CONCATENATE("1. ",G52)</f>
        <v>1. Исполнительный чертеж ЗП № (по адресу: )</v>
      </c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spans="1:257" ht="52.5" customHeight="1" x14ac:dyDescent="0.25">
      <c r="A65" s="166" t="str">
        <f>CONCATENATE("2. ",A49)</f>
        <v xml:space="preserve">2. 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spans="1:257" ht="10.5" customHeight="1" x14ac:dyDescent="0.25">
      <c r="A66" s="150" t="s">
        <v>225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</row>
    <row r="67" spans="1:257" ht="13.5" customHeight="1" x14ac:dyDescent="0.25">
      <c r="A67" s="71" t="s">
        <v>226</v>
      </c>
    </row>
    <row r="68" spans="1:257" ht="12" customHeight="1" x14ac:dyDescent="0.25">
      <c r="A68" s="71" t="s">
        <v>227</v>
      </c>
    </row>
    <row r="69" spans="1:257" ht="28.5" customHeight="1" x14ac:dyDescent="0.3">
      <c r="A69" s="148" t="str">
        <f>IFERROR(IF(LEN(INDEX('00 DATA'!$B:$B,MATCH("tech_name",'00 DATA'!$A:$A,0))&amp;"")=0,"",INDEX('00 DATA'!$B:$B,MATCH("tech_name",'00 DATA'!$A:$A,0))),"")</f>
        <v/>
      </c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8"/>
      <c r="AC69" s="148"/>
      <c r="AD69" s="148"/>
      <c r="AE69" s="148"/>
      <c r="AF69" s="148"/>
      <c r="AG69" s="148"/>
      <c r="AH69" s="148"/>
      <c r="AI69" s="148"/>
      <c r="AJ69" s="148"/>
    </row>
    <row r="70" spans="1:257" ht="10.5" customHeight="1" x14ac:dyDescent="0.25">
      <c r="A70" s="158" t="s">
        <v>228</v>
      </c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60" t="s">
        <v>229</v>
      </c>
      <c r="AC70" s="160"/>
      <c r="AD70" s="160"/>
      <c r="AE70" s="160"/>
      <c r="AF70" s="160"/>
      <c r="AG70" s="160"/>
      <c r="AH70" s="160"/>
      <c r="AI70" s="160"/>
      <c r="AJ70" s="160"/>
    </row>
    <row r="71" spans="1:257" ht="11.25" customHeight="1" x14ac:dyDescent="0.25">
      <c r="A71" s="156" t="s">
        <v>230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</row>
    <row r="72" spans="1:257" ht="28.5" customHeight="1" x14ac:dyDescent="0.3">
      <c r="A72" s="148" t="str">
        <f>IFERROR(IF(LEN(INDEX('00 DATA'!$B:$B,MATCH("sign1_name",'00 DATA'!$A:$A,0))&amp;"")=0,"",INDEX('00 DATA'!$B:$B,MATCH("sign1_name",'00 DATA'!$A:$A,0))),"")</f>
        <v/>
      </c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58" t="s">
        <v>228</v>
      </c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60" t="s">
        <v>229</v>
      </c>
      <c r="AC73" s="160"/>
      <c r="AD73" s="160"/>
      <c r="AE73" s="160"/>
      <c r="AF73" s="160"/>
      <c r="AG73" s="160"/>
      <c r="AH73" s="160"/>
      <c r="AI73" s="160"/>
      <c r="AJ73" s="160"/>
    </row>
    <row r="74" spans="1:257" ht="10.5" customHeight="1" x14ac:dyDescent="0.25">
      <c r="A74" s="99" t="s">
        <v>197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8" t="str">
        <f>IFERROR(IF(LEN(INDEX('00 DATA'!$B:$B,MATCH("sign2_name",'00 DATA'!$A:$A,0))&amp;"")=0,"",INDEX('00 DATA'!$B:$B,MATCH("sign2_name",'00 DATA'!$A:$A,0))),"")</f>
        <v/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8"/>
      <c r="AC75" s="148"/>
      <c r="AD75" s="148"/>
      <c r="AE75" s="148"/>
      <c r="AF75" s="148"/>
      <c r="AG75" s="148"/>
      <c r="AH75" s="148"/>
      <c r="AI75" s="148"/>
      <c r="AJ75" s="148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58" t="s">
        <v>228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60" t="s">
        <v>229</v>
      </c>
      <c r="AC76" s="160"/>
      <c r="AD76" s="160"/>
      <c r="AE76" s="160"/>
      <c r="AF76" s="160"/>
      <c r="AG76" s="160"/>
      <c r="AH76" s="160"/>
      <c r="AI76" s="160"/>
      <c r="AJ76" s="160"/>
    </row>
    <row r="77" spans="1:257" ht="12.75" customHeight="1" x14ac:dyDescent="0.25">
      <c r="A77" s="99" t="s">
        <v>231</v>
      </c>
    </row>
    <row r="78" spans="1:257" ht="10.5" customHeight="1" x14ac:dyDescent="0.25">
      <c r="A78" s="99" t="s">
        <v>232</v>
      </c>
    </row>
    <row r="79" spans="1:257" ht="21.75" customHeight="1" x14ac:dyDescent="0.3">
      <c r="A79" s="148" t="str">
        <f>IFERROR(IF(LEN(INDEX('00 DATA'!$B:$B,MATCH("sign2_name",'00 DATA'!$A:$A,0))&amp;"")=0,"",INDEX('00 DATA'!$B:$B,MATCH("sign2_name",'00 DATA'!$A:$A,0))),"")</f>
        <v/>
      </c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8"/>
      <c r="AC79" s="148"/>
      <c r="AD79" s="148"/>
      <c r="AE79" s="148"/>
      <c r="AF79" s="148"/>
      <c r="AG79" s="148"/>
      <c r="AH79" s="148"/>
      <c r="AI79" s="148"/>
      <c r="AJ79" s="148"/>
    </row>
    <row r="80" spans="1:257" ht="8.25" customHeight="1" x14ac:dyDescent="0.25">
      <c r="A80" s="158" t="s">
        <v>228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60" t="s">
        <v>229</v>
      </c>
      <c r="AC80" s="160"/>
      <c r="AD80" s="160"/>
      <c r="AE80" s="160"/>
      <c r="AF80" s="160"/>
      <c r="AG80" s="160"/>
      <c r="AH80" s="160"/>
      <c r="AI80" s="160"/>
      <c r="AJ80" s="160"/>
    </row>
    <row r="81" spans="1:36" ht="37.5" customHeight="1" x14ac:dyDescent="0.25">
      <c r="A81" s="164" t="s">
        <v>201</v>
      </c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</row>
    <row r="82" spans="1:36" ht="15" customHeight="1" x14ac:dyDescent="0.3">
      <c r="A82" s="148" t="str">
        <f>IFERROR(IF(LEN(INDEX('00 DATA'!$B:$B,MATCH("designer_name",'00 DATA'!$A:$A,0))&amp;"")=0,"",INDEX('00 DATA'!$B:$B,MATCH("designer_name",'00 DATA'!$A:$A,0))),"")</f>
        <v/>
      </c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8"/>
      <c r="AC82" s="148"/>
      <c r="AD82" s="148"/>
      <c r="AE82" s="148"/>
      <c r="AF82" s="148"/>
      <c r="AG82" s="148"/>
      <c r="AH82" s="148"/>
      <c r="AI82" s="148"/>
      <c r="AJ82" s="148"/>
    </row>
    <row r="83" spans="1:36" ht="8.25" customHeight="1" x14ac:dyDescent="0.25">
      <c r="A83" s="158" t="s">
        <v>228</v>
      </c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60" t="s">
        <v>229</v>
      </c>
      <c r="AC83" s="160"/>
      <c r="AD83" s="160"/>
      <c r="AE83" s="160"/>
      <c r="AF83" s="160"/>
      <c r="AG83" s="160"/>
      <c r="AH83" s="160"/>
      <c r="AI83" s="160"/>
      <c r="AJ83" s="160"/>
    </row>
    <row r="84" spans="1:36" ht="34.5" customHeight="1" x14ac:dyDescent="0.25">
      <c r="A84" s="164" t="s">
        <v>235</v>
      </c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</row>
    <row r="85" spans="1:36" ht="28.5" customHeight="1" x14ac:dyDescent="0.3">
      <c r="A85" s="148" t="str">
        <f>IFERROR(IF(LEN(INDEX('00 DATA'!$B:$B,MATCH("sign3_name",'00 DATA'!$A:$A,0))&amp;"")=0,"",INDEX('00 DATA'!$B:$B,MATCH("sign3_name",'00 DATA'!$A:$A,0))),"")</f>
        <v/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8"/>
      <c r="AC85" s="148"/>
      <c r="AD85" s="148"/>
      <c r="AE85" s="148"/>
      <c r="AF85" s="148"/>
      <c r="AG85" s="148"/>
      <c r="AH85" s="148"/>
      <c r="AI85" s="148"/>
      <c r="AJ85" s="148"/>
    </row>
    <row r="86" spans="1:36" ht="12" customHeight="1" x14ac:dyDescent="0.25">
      <c r="A86" s="158" t="s">
        <v>228</v>
      </c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60" t="s">
        <v>229</v>
      </c>
      <c r="AC86" s="160"/>
      <c r="AD86" s="160"/>
      <c r="AE86" s="160"/>
      <c r="AF86" s="160"/>
      <c r="AG86" s="160"/>
      <c r="AH86" s="160"/>
      <c r="AI86" s="160"/>
      <c r="AJ86" s="160"/>
    </row>
    <row r="87" spans="1:36" ht="9" customHeight="1" x14ac:dyDescent="0.25"/>
    <row r="88" spans="1:36" ht="12" customHeight="1" x14ac:dyDescent="0.25"/>
  </sheetData>
  <mergeCells count="82">
    <mergeCell ref="A84:AJ84"/>
    <mergeCell ref="A85:O85"/>
    <mergeCell ref="AB85:AJ85"/>
    <mergeCell ref="A86:O86"/>
    <mergeCell ref="AB86:AJ86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70:O70"/>
    <mergeCell ref="AB70:AJ70"/>
    <mergeCell ref="A71:AJ71"/>
    <mergeCell ref="A72:O72"/>
    <mergeCell ref="A73:O73"/>
    <mergeCell ref="AB73:AJ73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50:AJ50"/>
    <mergeCell ref="G52:AJ52"/>
    <mergeCell ref="A53:AJ53"/>
    <mergeCell ref="M54:N54"/>
    <mergeCell ref="P54:S54"/>
    <mergeCell ref="U54:W54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</mergeCells>
  <pageMargins left="0.78749999999999998" right="0.27569444444444402" top="0.39374999999999999" bottom="0.39374999999999999" header="0.511811023622047" footer="0.511811023622047"/>
  <pageSetup paperSize="9" scale="93" orientation="portrait" horizontalDpi="300" verticalDpi="30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2026-03-18T08:37:09Z</dcterms:modified>
  <dc:language>en-US</dc:language>
</cp:coreProperties>
</file>