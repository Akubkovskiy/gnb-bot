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  <sheet name="Акт освид" sheetId="2" r:id="rId2" state="hidden"/>
    <sheet name="1.АОСР разбивка" sheetId="3" r:id="rId3"/>
    <sheet name="2.АОСР котлованы" sheetId="4" r:id="rId4"/>
    <sheet name="3.АОСР пилот" sheetId="5" r:id="rId5"/>
    <sheet name="4.АОСР Расширение" sheetId="6" r:id="rId6"/>
    <sheet name="5.АОСР протягивание" sheetId="7" r:id="rId7"/>
    <sheet name="6.АОСР соосность" sheetId="8" r:id="rId8"/>
    <sheet name="7.АОСР проходимость" sheetId="9" r:id="rId9"/>
    <sheet name="8.АОСР герметизация" sheetId="10" r:id="rId10"/>
    <sheet name="9.АОСР котлованы засыпка" sheetId="11" r:id="rId11"/>
    <sheet name="10.АОСР устройство" sheetId="12" r:id="rId12"/>
    <sheet name="1_РЭР_Осмотр труб" sheetId="13" r:id="rId13"/>
    <sheet name="2_РЭР_Сварка" sheetId="14" r:id="rId14"/>
    <sheet name="3_РЭР_Трубопровод" sheetId="15" r:id="rId15"/>
    <sheet name="4_РЭР_Надзор" sheetId="16" r:id="rId16"/>
    <sheet name="5_РЭР_ПКЛ" sheetId="17" r:id="rId17"/>
    <sheet name="6_РЭР_Опись" sheetId="18" r:id="rId18"/>
  </sheets>
  <definedNames>
    <definedName name="_xlfn._FV">#NAME?</definedName>
    <definedName name="_xlfn.CONCAT">#NAME?</definedName>
    <definedName name="_xlfn.SINGLE">#NAME?</definedName>
    <definedName name="_xlnm.Print_Area" localSheetId="2">'1.АОСР разбивка'!$A$1:$M$78</definedName>
    <definedName name="_xlnm.Print_Area" localSheetId="12">'1_РЭР_Осмотр труб'!$A$1:$N$47</definedName>
    <definedName name="_xlnm.Print_Area" localSheetId="11">'10.АОСР устройство'!$A$1:$M$85</definedName>
    <definedName name="_xlnm.Print_Area" localSheetId="3">'2.АОСР котлованы'!$A$1:$M$86</definedName>
    <definedName name="_xlnm.Print_Area" localSheetId="13">'2_РЭР_Сварка'!$A$1:$N$47</definedName>
    <definedName name="_xlnm.Print_Area" localSheetId="4">'3.АОСР пилот'!$A$1:$M$85</definedName>
    <definedName name="_xlnm.Print_Area" localSheetId="14">'3_РЭР_Трубопровод'!$A$1:$N$47</definedName>
    <definedName name="_xlnm.Print_Area" localSheetId="5">'4.АОСР Расширение'!$A$1:$M$85</definedName>
    <definedName name="_xlnm.Print_Area" localSheetId="15">'4_РЭР_Надзор'!$A$1:$N$46</definedName>
    <definedName name="_xlnm.Print_Area" localSheetId="6">'5.АОСР протягивание'!$A$1:$M$85</definedName>
    <definedName name="_xlnm.Print_Area" localSheetId="16">'5_РЭР_ПКЛ'!$A$1:$N$47</definedName>
    <definedName name="_xlnm.Print_Area" localSheetId="7">'6.АОСР соосность'!$A$1:$M$85</definedName>
    <definedName name="_xlnm.Print_Area" localSheetId="17">'6_РЭР_Опись'!$A$1:$N$45</definedName>
    <definedName name="_xlnm.Print_Area" localSheetId="8">'7.АОСР проходимость'!$A$1:$M$85</definedName>
    <definedName name="_xlnm.Print_Area" localSheetId="9">'8.АОСР герметизация'!$A$1:$M$85</definedName>
    <definedName name="_xlnm.Print_Area" localSheetId="10">'9.АОСР котлованы засыпка'!$A$1:$M$85</definedName>
    <definedName name="_xlnm.Print_Area" localSheetId="1">'Акт освид'!$A$1:$K$46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4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1" formatCode="_-* #,##0_-;\-* #,##0_-;_-* &quot;-&quot;_-;_-@_-"/>
    <numFmt numFmtId="42" formatCode="_-* #,##0\ &quot;₽&quot;_-;\-* #,##0\ &quot;₽&quot;_-;_-* &quot;-&quot;\ &quot;₽&quot;_-;_-@_-"/>
    <numFmt numFmtId="43" formatCode="_-* #,##0.00_-;\-* #,##0.00_-;_-* &quot;-&quot;??_-;_-@_-"/>
    <numFmt numFmtId="44" formatCode="_-* #,##0.00\ &quot;₽&quot;_-;\-* #,##0.00\ &quot;₽&quot;_-;_-* &quot;-&quot;??\ &quot;₽&quot;_-;_-@_-"/>
    <numFmt numFmtId="56" formatCode="&quot;上午/下午 &quot;hh&quot;時&quot;mm&quot;分&quot;ss&quot;秒 &quot;"/>
    <numFmt numFmtId="164" formatCode="_-* #,##0\ _₽_-;\-* #,##0\ _₽_-;_-* &quot;-&quot;\ _₽_-;_-@_-"/>
    <numFmt numFmtId="165" formatCode="_-* #,##0.00\ _₽_-;\-* #,##0.00\ _₽_-;_-* &quot;-&quot;??\ _₽_-;_-@_-"/>
    <numFmt numFmtId="166" formatCode="#,##0&quot;р.&quot;;\-#,##0&quot;р.&quot;"/>
    <numFmt numFmtId="167" formatCode="#,##0&quot;р.&quot;;[Red]\-#,##0&quot;р.&quot;"/>
    <numFmt numFmtId="168" formatCode="#,##0.00&quot;р.&quot;;\-#,##0.00&quot;р.&quot;"/>
    <numFmt numFmtId="169" formatCode="#,##0.00&quot;р.&quot;;[Red]\-#,##0.00&quot;р.&quot;"/>
    <numFmt numFmtId="170" formatCode="_-* #,##0&quot;р.&quot;_-;\-* #,##0&quot;р.&quot;_-;_-* &quot;-&quot;&quot;р.&quot;_-;_-@_-"/>
    <numFmt numFmtId="171" formatCode="_-* #,##0_р_._-;\-* #,##0_р_._-;_-* &quot;-&quot;_р_._-;_-@_-"/>
    <numFmt numFmtId="172" formatCode="_-* #,##0.00&quot;р.&quot;_-;\-* #,##0.00&quot;р.&quot;_-;_-* &quot;-&quot;??&quot;р.&quot;_-;_-@_-"/>
    <numFmt numFmtId="173" formatCode="_-* #,##0.00_р_._-;\-* #,##0.00_р_._-;_-* &quot;-&quot;??_р_._-;_-@_-"/>
    <numFmt numFmtId="174" formatCode="&quot;€&quot;#,##0;\-&quot;€&quot;#,##0"/>
    <numFmt numFmtId="175" formatCode="&quot;€&quot;#,##0;[Red]\-&quot;€&quot;#,##0"/>
    <numFmt numFmtId="176" formatCode="&quot;€&quot;#,##0.00;\-&quot;€&quot;#,##0.00"/>
    <numFmt numFmtId="177" formatCode="&quot;€&quot;#,##0.00;[Red]\-&quot;€&quot;#,##0.00"/>
    <numFmt numFmtId="178" formatCode="_-&quot;€&quot;* #,##0_-;\-&quot;€&quot;* #,##0_-;_-&quot;€&quot;* &quot;-&quot;_-;_-@_-"/>
    <numFmt numFmtId="179" formatCode="_-&quot;€&quot;* #,##0.00_-;\-&quot;€&quot;* #,##0.00_-;_-&quot;€&quot;* &quot;-&quot;??_-;_-@_-"/>
    <numFmt numFmtId="180" formatCode="&quot;$&quot;#,##0_);\(&quot;$&quot;#,##0\)"/>
    <numFmt numFmtId="181" formatCode="&quot;$&quot;#,##0_);[Red]\(&quot;$&quot;#,##0\)"/>
    <numFmt numFmtId="182" formatCode="&quot;$&quot;#,##0.00_);\(&quot;$&quot;#,##0.00\)"/>
    <numFmt numFmtId="183" formatCode="&quot;$&quot;#,##0.00_);[Red]\(&quot;$&quot;#,##0.00\)"/>
    <numFmt numFmtId="184" formatCode="_(&quot;$&quot;* #,##0_);_(&quot;$&quot;* \(#,##0\);_(&quot;$&quot;* &quot;-&quot;_);_(@_)"/>
    <numFmt numFmtId="185" formatCode="_(* #,##0_);_(* \(#,##0\);_(* &quot;-&quot;_);_(@_)"/>
    <numFmt numFmtId="186" formatCode="_(&quot;$&quot;* #,##0.00_);_(&quot;$&quot;* \(#,##0.00\);_(&quot;$&quot;* &quot;-&quot;??_);_(@_)"/>
    <numFmt numFmtId="187" formatCode="_(* #,##0.00_);_(* \(#,##0.00\);_(* &quot;-&quot;??_);_(@_)"/>
    <numFmt numFmtId="188" formatCode="&quot;Да&quot;;&quot;Да&quot;;&quot;Нет&quot;"/>
    <numFmt numFmtId="189" formatCode="&quot;Истина&quot;;&quot;Истина&quot;;&quot;Ложь&quot;"/>
    <numFmt numFmtId="190" formatCode="&quot;Вкл&quot;;&quot;Вкл&quot;;&quot;Выкл&quot;"/>
    <numFmt numFmtId="191" formatCode="[$€-2]\ ###,000_);[Red]\([$€-2]\ ###,000\)"/>
    <numFmt numFmtId="192" formatCode="0.0000"/>
    <numFmt numFmtId="193" formatCode="0.000"/>
    <numFmt numFmtId="194" formatCode="0.0"/>
    <numFmt numFmtId="195" formatCode="0.00000"/>
    <numFmt numFmtId="196" formatCode="[$-FC19]d\ mmmm\ yyyy\ &quot;г.&quot;"/>
    <numFmt numFmtId="197" formatCode="[$-F400]h:mm:ss\ AM/PM"/>
    <numFmt numFmtId="198" formatCode="[$-F800]dddd\,\ m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"/>
  <sheetViews>
    <sheetView workbookViewId="0" rightToLeft="0"/>
  </sheetViews>
  <cols>
    <col min="1" max="1" customWidth="1" width="14.7109375" level="0" outlineLevel="0"/>
    <col min="2" max="2" customWidth="1" width="10.7109375" level="0" outlineLevel="0"/>
    <col min="7" max="7" customWidth="1" width="14.42578125" level="0" outlineLevel="0"/>
    <col min="9" max="9" customWidth="1" width="11.5703125" level="0" outlineLevel="0"/>
    <col min="10" max="10" customWidth="1" width="23.140625" level="0" outlineLevel="0"/>
  </cols>
  <sheetData>
    <row r="1">
      <c r="A1" t="str">
        <v>Объект капитального строительства:</v>
      </c>
    </row>
    <row r="2" ht="50.1" customHeight="1">
      <c r="A2" t="str"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>Застройщик (технический заказчик, эксплуатирующая организация или региональный оператор)</v>
      </c>
    </row>
    <row r="4">
      <c r="A4" t="str">
        <v xml:space="preserve">МКС – филиал ПАО «Россети Московский регион» </v>
      </c>
    </row>
    <row r="5" ht="30" customHeight="1">
      <c r="A5" t="str">
        <v>ОГРН 1057746555811, ИНН 5036065113, 115035, г. Москва, ул. Садовническая, д.36 , тел.: 8 (495) 668-22-28 СРО СОЮЗ «ЭНЕРГОСТРОЙ», ОГРН 1097799013751, ИНН 7708237433</v>
      </c>
    </row>
    <row r="6">
      <c r="A6" t="str">
        <v>Лицо, осуществляющее строительство:</v>
      </c>
    </row>
    <row r="7" ht="12.75" customHeight="1">
      <c r="A7" t="str">
        <v xml:space="preserve">ООО «СМК» </v>
      </c>
    </row>
    <row r="8" ht="39.95" customHeight="1">
      <c r="A8" t="str">
        <v>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>
      <c r="A9" t="str">
        <v>Лицо, осуществляющее подготовку проектной документации:</v>
      </c>
    </row>
    <row r="10">
      <c r="A10" t="str">
        <v xml:space="preserve">ООО «СМК» </v>
      </c>
    </row>
    <row r="11" ht="39.95" customHeight="1">
      <c r="A11" t="str">
        <v xml:space="preserve">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9.95" customHeight="1"/>
    <row r="13" ht="15" customHeight="1">
      <c r="A13" t="str">
        <v xml:space="preserve">Представитель застройщика или технического заказчика по вопросам строительного контроля: </v>
      </c>
    </row>
    <row r="14" ht="15" customHeight="1">
      <c r="A14" t="str">
        <v>Заместитель начальника УКС ЮВО МКС филиал ПАО «РОССЕТИ МОСКОВСКИЙ РЕГИОН» Гусев П.А.</v>
      </c>
    </row>
    <row r="15" ht="15" customHeight="1">
      <c r="A15" t="str">
        <v>ИНРС в области строительства №С-77-204102 от 18.10.2019  распоряжение №1399р от 01.07.2025 г.</v>
      </c>
    </row>
    <row r="16" ht="15" customHeight="1">
      <c r="A16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17" ht="15" customHeight="1">
      <c r="A17" t="str">
        <v xml:space="preserve">Заместитель генерального директора по развитию ООО "СМК" Прошин Н.Н., </v>
      </c>
    </row>
    <row r="18" ht="15" customHeight="1">
      <c r="A18" t="str">
        <v>ИНРС в области строительства  С-71-081355 от 21.08.2017г.; приказ №18-ЛНА от 09.01.2019г.</v>
      </c>
    </row>
    <row r="19" ht="15" customHeight="1">
      <c r="A19" t="str">
        <v xml:space="preserve">Представитель лица, осуществляющего строительство, реконструкцию, капитальный ремонт: </v>
      </c>
    </row>
    <row r="20" ht="15" customHeight="1">
      <c r="A20" t="str">
        <v>Зам. начальника ПТО ООО "СМК" Тишков В.А., С-77-233823 от 25.05.2021г.</v>
      </c>
    </row>
    <row r="21" ht="15" customHeight="1">
      <c r="A21" t="str">
        <v xml:space="preserve"> приказ №18-ЛНА 1 от 03.11.2020г.</v>
      </c>
    </row>
    <row r="22" ht="15" customHeight="1">
      <c r="A22" t="str">
        <v>Представитель лица, осуществляющего подготовку проектной документации:</v>
      </c>
    </row>
    <row r="23" ht="15" customHeight="1">
      <c r="A23" t="str">
        <v xml:space="preserve"> ГИП ООО "СМК" Сергеев А.А., индетификационный номер в НРС в НОПРИЗ ПИ-125535 от 19.02.2021г</v>
      </c>
    </row>
    <row r="24" ht="15" customHeight="1">
      <c r="A24" t="str">
        <v>Приказ №27-ЛНА от 03.02.2022г,</v>
      </c>
    </row>
    <row r="25" ht="15" customHeight="1">
      <c r="A25" t="str">
        <v>Представитель лица, выполнившего работы, подлежащие освидетельствованию:</v>
      </c>
    </row>
    <row r="26" ht="15" customHeight="1">
      <c r="A26" t="str">
        <v>Главный инженер ООО «СКМ-ГРУПП» Картавченко А.Л.,</v>
      </c>
    </row>
    <row r="27" ht="15" customHeight="1">
      <c r="A27" t="str">
        <v>Приказ №25-11-03-1 от 03.11.2023 г.</v>
      </c>
    </row>
    <row r="28" ht="15" customHeight="1">
      <c r="A28" t="str">
        <v>ООО «СКМ-ГРУПП»</v>
      </c>
    </row>
    <row r="29" ht="35.25" customHeight="1">
      <c r="A29" t="str">
        <v>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0" ht="15" customHeight="1">
      <c r="A30" t="str">
        <v>Иные представители технического заказчика:</v>
      </c>
    </row>
    <row r="31" ht="15" customHeight="1">
      <c r="A31" t="str">
        <v>Старший мастер 7 РЭР УКС ЮВО МКС филиал ПАО «РОССЕТИ МОСКОВСКИЙ РЕГИОН» Рящиков М.Ю.</v>
      </c>
    </row>
    <row r="32" ht="15" customHeight="1">
      <c r="A32" t="str">
        <v>распоряжение №1399р от 01.07.2025г</v>
      </c>
    </row>
    <row r="33" ht="9.95" customHeight="1"/>
    <row r="34" ht="15" customHeight="1">
      <c r="A34" t="str">
        <v xml:space="preserve">Представитель застройщика или технического заказчика по вопросам строительного контроля: </v>
      </c>
    </row>
    <row r="35" ht="15" customHeight="1">
      <c r="A35" t="str">
        <v>ФИО</v>
      </c>
      <c r="B35" t="str">
        <v>Гусев П.А.</v>
      </c>
    </row>
    <row r="36" ht="15" customHeight="1">
      <c r="A36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37" ht="15" customHeight="1">
      <c r="A37" t="str">
        <v>ФИО</v>
      </c>
      <c r="B37" t="str">
        <v>Прошин Н.Н.</v>
      </c>
    </row>
    <row r="38" ht="15" customHeight="1">
      <c r="A38" t="str">
        <v xml:space="preserve">Представитель лица, осуществляющего строительство, реконструкцию, капитальный ремонт: </v>
      </c>
    </row>
    <row r="39" ht="15" customHeight="1">
      <c r="A39" t="str">
        <v>ФИО</v>
      </c>
      <c r="B39" t="str">
        <v>Тишков В.А.</v>
      </c>
    </row>
    <row r="40" ht="15" customHeight="1">
      <c r="A40" t="str">
        <v>Представитель лица, осуществляющего подготовку проектной документации:</v>
      </c>
    </row>
    <row r="41" ht="15" customHeight="1">
      <c r="A41" t="str">
        <v>ФИО</v>
      </c>
      <c r="B41" t="str">
        <v>Сергеев А.А.</v>
      </c>
    </row>
    <row r="42" ht="15" customHeight="1">
      <c r="A42" t="str">
        <v>Представитель лица, выполнившего работы, подлежащие освидетельствованию:</v>
      </c>
    </row>
    <row r="43" ht="15" customHeight="1">
      <c r="A43" t="str">
        <v>ФИО</v>
      </c>
      <c r="B43" t="str">
        <v>Картавченко А.Л.</v>
      </c>
    </row>
    <row r="44" ht="15" customHeight="1">
      <c r="A44" t="str">
        <v>Иные представители технического заказчика:</v>
      </c>
    </row>
    <row r="45" ht="15" customHeight="1">
      <c r="A45" t="str">
        <v>ФИО</v>
      </c>
      <c r="B45" t="str">
        <v>Рящиков М.Ю.</v>
      </c>
    </row>
    <row r="46" ht="9.95" customHeight="1"/>
    <row r="47" ht="15" customHeight="1">
      <c r="A47" t="str">
        <v>Эксплуатация</v>
      </c>
      <c r="C47" t="str">
        <v>7 РЭР УКС ЮВО МКС филиал ПАО «РОССЕТИ МОСКОВСКИЙ РЕГИОН»</v>
      </c>
    </row>
    <row r="48" ht="15" customHeight="1">
      <c r="A48" t="str">
        <v>Адрес:</v>
      </c>
      <c r="C48" t="str">
        <v>г. Москва, Салтыковская ул. д.5А</v>
      </c>
    </row>
    <row r="49">
      <c r="A49" t="str">
        <v>Номер закрытого перехода:</v>
      </c>
      <c r="C49" t="str">
        <v xml:space="preserve">№1 </v>
      </c>
    </row>
    <row r="50" ht="15" customHeight="1">
      <c r="A50" t="str">
        <v>Дата начала работ</v>
      </c>
      <c r="C50" s="1">
        <v>45957</v>
      </c>
    </row>
    <row r="51" xml:space="preserve">
      <c r="A51" t="str">
        <v>Дата завершения работ</v>
      </c>
      <c r="C51" s="1">
        <v>45961</v>
      </c>
      <c r="Q51" t="str" xml:space="preserve">
        <v xml:space="preserve"> 
</v>
      </c>
    </row>
    <row r="52"/>
    <row r="53">
      <c r="A53" t="str">
        <v>Длина ГНБ:</v>
      </c>
      <c r="C53">
        <v>63.64</v>
      </c>
    </row>
    <row r="54">
      <c r="A54" t="str">
        <v>Количество труб:</v>
      </c>
      <c r="C54">
        <v>3</v>
      </c>
    </row>
    <row r="55">
      <c r="A55" t="str">
        <v>Диаметр трубоканалов:</v>
      </c>
      <c r="C55">
        <v>160</v>
      </c>
    </row>
    <row r="56">
      <c r="A56" t="str">
        <v>Состоящего из:</v>
      </c>
      <c r="C56" t="str">
        <v>3(трёх) труб (ЭЛЕКТРОПАЙП ОС РС 160х8.9 SN16-N F90 T120)</v>
      </c>
    </row>
    <row r="57">
      <c r="A57" t="str">
        <v>Общая длина труб:</v>
      </c>
      <c r="C57">
        <f>C53*C54</f>
        <v>190.92000000000002</v>
      </c>
    </row>
    <row r="58">
      <c r="A58" t="str">
        <v>Количество бентонита:</v>
      </c>
      <c r="C58">
        <v>6715</v>
      </c>
    </row>
    <row r="59">
      <c r="A59" t="str">
        <v>Количество полимеров:</v>
      </c>
      <c r="C59">
        <v>345</v>
      </c>
    </row>
    <row r="60">
      <c r="A60" t="str">
        <v>Окончательное расширение:</v>
      </c>
      <c r="C60">
        <v>500</v>
      </c>
    </row>
    <row r="61">
      <c r="A61" t="str">
        <v>Марка трубы:</v>
      </c>
      <c r="C61" t="str">
        <v>ЭЛЕКТРОПАЙП ОС РС 160х8.9 SN16-N F90 T120</v>
      </c>
    </row>
    <row r="62">
      <c r="A62" t="str">
        <v>Документы:</v>
      </c>
      <c r="C62" t="str">
        <v xml:space="preserve">Паспорт качества №12514 от 09.10.2025г; Сертификат соответствия №РОСС RU.HB24.АПТС H00165/24 до 20.02.2029г.  </v>
      </c>
    </row>
    <row r="63">
      <c r="A63" t="str">
        <v>Бентонит:</v>
      </c>
      <c r="C63" t="str">
        <v>Глинопорошок бентонитовый для горизонтального бурения "Bentopro standart", сертификат соответствия: RU.32468.04ЛЕГО.010.3869</v>
      </c>
    </row>
    <row r="64">
      <c r="A64" t="str">
        <v>Полимер:</v>
      </c>
      <c r="C64" t="str">
        <v>Ингибитор глины «BentoPro PHPA»</v>
      </c>
    </row>
    <row r="65">
      <c r="A65" t="str">
        <v>Заглушки шнур УКПТ:</v>
      </c>
      <c r="C65" t="str">
        <v xml:space="preserve">Заглушки,  УКПТ 175/55 </v>
      </c>
    </row>
    <row r="66"/>
    <row r="67">
      <c r="A67" t="str">
        <v>Проектировщик:</v>
      </c>
      <c r="C67" t="str">
        <v xml:space="preserve">ООО «СМК» </v>
      </c>
    </row>
    <row r="68">
      <c r="A68" t="str">
        <v>Шифр проекта:</v>
      </c>
      <c r="C68" t="str">
        <v>345716/ПС-25</v>
      </c>
    </row>
    <row r="69">
      <c r="A69" t="str">
        <v>Подрядчик:</v>
      </c>
      <c r="C69" t="str">
        <v xml:space="preserve"> ООО «СКМ-ГРУПП»</v>
      </c>
    </row>
    <row r="70"/>
    <row r="71">
      <c r="A71" t="str">
        <v>№перехода</v>
      </c>
      <c r="C71" t="str">
        <v>№1</v>
      </c>
    </row>
    <row r="72">
      <c r="A72" t="str">
        <v>вид работ</v>
      </c>
      <c r="B72" t="str">
        <v>№Акта</v>
      </c>
      <c r="C72" t="str">
        <v>Дата начала</v>
      </c>
      <c r="E72" t="str">
        <v>Дата окончания</v>
      </c>
      <c r="J72" t="str">
        <v>Количество экз.</v>
      </c>
      <c r="K72">
        <v>2</v>
      </c>
    </row>
    <row r="73">
      <c r="A73" t="str">
        <v>1.Разбивка</v>
      </c>
      <c r="B73" t="str">
        <f>CONCATENATE(C71,"/1")</f>
        <v>№1/1</v>
      </c>
      <c r="C73" s="1">
        <f>DATE(YEAR(C50), MONTH(C50), DAY(C50))</f>
        <v>45957</v>
      </c>
      <c r="E73" s="1">
        <f>DATE(YEAR(C50), MONTH(C50), DAY(C50))</f>
        <v>45957</v>
      </c>
    </row>
    <row r="74">
      <c r="A74" t="str">
        <v>2.Котлованы</v>
      </c>
      <c r="B74" t="str">
        <f>CONCATENATE(C71,"/2")</f>
        <v>№1/2</v>
      </c>
      <c r="C74" s="1">
        <f>DATE(YEAR(C50), MONTH(C50), DAY(C50))</f>
        <v>45957</v>
      </c>
      <c r="E74" s="1">
        <f>DATE(YEAR(C50), MONTH(C50), DAY(C50))</f>
        <v>45957</v>
      </c>
    </row>
    <row r="75">
      <c r="A75" t="str">
        <v>3.Пилот</v>
      </c>
      <c r="B75" t="str">
        <f>CONCATENATE(C71,"/3")</f>
        <v>№1/3</v>
      </c>
      <c r="C75" s="1">
        <f>DATE(YEAR(C50), MONTH(C50), DAY(C50)+1)</f>
        <v>45958</v>
      </c>
      <c r="E75" s="1">
        <f>DATE(YEAR(C50), MONTH(C50), DAY(C50)+1)</f>
        <v>45958</v>
      </c>
    </row>
    <row r="76" ht="12.75" customHeight="1">
      <c r="A76" t="str">
        <v>4.Расширение</v>
      </c>
      <c r="B76" t="str">
        <f>CONCATENATE(C71,"/4")</f>
        <v>№1/4</v>
      </c>
      <c r="C76" s="1">
        <f>DATE(YEAR(C50), MONTH(C50), DAY(C50)+1)</f>
        <v>45958</v>
      </c>
      <c r="E76" s="1">
        <f>DATE(YEAR(C51), MONTH(C51), DAY(C51)-1)</f>
        <v>45960</v>
      </c>
    </row>
    <row r="77">
      <c r="A77" t="str">
        <v>5.Протягивание</v>
      </c>
      <c r="B77" t="str">
        <f>CONCATENATE(C71,"/5")</f>
        <v>№1/5</v>
      </c>
      <c r="C77" s="1">
        <f>DATE(YEAR(C51), MONTH(C51), DAY(C51)-1)</f>
        <v>45960</v>
      </c>
      <c r="E77" s="1">
        <f>DATE(YEAR(C51), MONTH(C51), DAY(C51)-1)</f>
        <v>45960</v>
      </c>
    </row>
    <row r="78">
      <c r="A78" t="str">
        <v>6.Соосность</v>
      </c>
      <c r="B78" t="str">
        <f>CONCATENATE(C71,"/6")</f>
        <v>№1/6</v>
      </c>
      <c r="C78" s="1">
        <f>DATE(YEAR(C51),MONTH(C51),DAY(C51))</f>
        <v>45961</v>
      </c>
      <c r="E78" s="1">
        <f>DATE(YEAR(C51),MONTH(C51),DAY(C51))</f>
        <v>45961</v>
      </c>
    </row>
    <row r="79">
      <c r="A79" t="str">
        <v>7.Проходимость</v>
      </c>
      <c r="B79" t="str">
        <f>CONCATENATE(C71,"/7")</f>
        <v>№1/7</v>
      </c>
      <c r="C79" s="1">
        <f>DATE(YEAR(C51),MONTH(C51),DAY(C51))</f>
        <v>45961</v>
      </c>
      <c r="E79" s="1">
        <f>DATE(YEAR(C51),MONTH(C51),DAY(C51))</f>
        <v>45961</v>
      </c>
    </row>
    <row r="80">
      <c r="A80" t="str">
        <v>8.Герметизация</v>
      </c>
      <c r="B80" t="str">
        <f>CONCATENATE(C71,"/8")</f>
        <v>№1/8</v>
      </c>
      <c r="C80" s="1">
        <f>DATE(YEAR(C51),MONTH(C51),DAY(C51))</f>
        <v>45961</v>
      </c>
      <c r="E80" s="1">
        <f>DATE(YEAR(C51),MONTH(C51),DAY(C51))</f>
        <v>45961</v>
      </c>
    </row>
    <row r="81">
      <c r="A81" t="str">
        <v>9.Котлованы</v>
      </c>
      <c r="B81" t="str">
        <f>CONCATENATE(C71,"/9")</f>
        <v>№1/9</v>
      </c>
      <c r="C81" s="1">
        <f>DATE(YEAR(C51),MONTH(C51),DAY(C51))</f>
        <v>45961</v>
      </c>
      <c r="E81" s="1">
        <f>DATE(YEAR(C51),MONTH(C51),DAY(C51))</f>
        <v>45961</v>
      </c>
    </row>
    <row r="82">
      <c r="A82" t="str">
        <v>10.Устройство</v>
      </c>
      <c r="B82" t="str">
        <f>CONCATENATE(C71,"/10")</f>
        <v>№1/10</v>
      </c>
      <c r="C82" s="1">
        <f>C75</f>
        <v>45958</v>
      </c>
      <c r="E82" s="1">
        <f>E81</f>
        <v>45961</v>
      </c>
    </row>
    <row r="83">
      <c r="A83" t="str">
        <v>Осмотр труб</v>
      </c>
      <c r="B83" t="str">
        <f>CONCATENATE(C71,"/1/РЭР")</f>
        <v>№1/1/РЭР</v>
      </c>
      <c r="C83" s="1" t="str">
        <v>-</v>
      </c>
      <c r="E83" s="1">
        <f>E77</f>
        <v>45960</v>
      </c>
    </row>
    <row r="84">
      <c r="A84" t="str">
        <v>Сварка</v>
      </c>
      <c r="B84" t="str">
        <f>CONCATENATE(C71,"/2/РЭР")</f>
        <v>№1/2/РЭР</v>
      </c>
      <c r="C84" s="1" t="str">
        <v>-</v>
      </c>
      <c r="E84" s="1">
        <f>E77</f>
        <v>45960</v>
      </c>
    </row>
    <row r="85">
      <c r="A85" t="str">
        <v>Приемка трубы</v>
      </c>
      <c r="B85" t="str">
        <f>CONCATENATE(C71,"/3/РЭР")</f>
        <v>№1/3/РЭР</v>
      </c>
      <c r="C85" s="1" t="str">
        <v>-</v>
      </c>
      <c r="E85" s="1">
        <f>E77</f>
        <v>45960</v>
      </c>
    </row>
    <row r="86">
      <c r="A86" t="str">
        <v>Надзор</v>
      </c>
      <c r="B86" t="str">
        <f>CONCATENATE(C71,"/4/РЭР")</f>
        <v>№1/4/РЭР</v>
      </c>
      <c r="C86" s="1">
        <f>C50</f>
        <v>45957</v>
      </c>
      <c r="E86" s="1">
        <f>C51</f>
        <v>45961</v>
      </c>
    </row>
    <row r="87">
      <c r="A87" t="str">
        <v>Сдача-приемка</v>
      </c>
      <c r="B87" t="str">
        <f>CONCATENATE(C71,"/5/РЭР")</f>
        <v>№1/5/РЭР</v>
      </c>
      <c r="C87" s="1" t="str">
        <v>-</v>
      </c>
      <c r="E87" s="1">
        <f>C51</f>
        <v>45961</v>
      </c>
    </row>
    <row r="88">
      <c r="A88" t="str">
        <v>Опись</v>
      </c>
      <c r="B88" t="str">
        <f>CONCATENATE(C71,"/6/РЭР")</f>
        <v>№1/6/РЭР</v>
      </c>
      <c r="C88" s="1" t="str">
        <v>-</v>
      </c>
      <c r="E88" s="1">
        <f>C51</f>
        <v>45961</v>
      </c>
    </row>
    <row r="89"/>
    <row r="91" ht="15" customHeight="1"/>
    <row r="92" ht="15" customHeight="1"/>
    <row r="93"/>
    <row r="94"/>
    <row r="95"/>
  </sheetData>
  <mergeCells count="95">
    <mergeCell ref="C79:D79"/>
    <mergeCell ref="E79:F79"/>
    <mergeCell ref="A17:J17"/>
    <mergeCell ref="A20:J20"/>
    <mergeCell ref="A23:J23"/>
    <mergeCell ref="C73:D73"/>
    <mergeCell ref="A62:B62"/>
    <mergeCell ref="A44:J44"/>
    <mergeCell ref="A55:B55"/>
    <mergeCell ref="A29:J29"/>
    <mergeCell ref="A32:J32"/>
    <mergeCell ref="A34:J34"/>
    <mergeCell ref="A36:J36"/>
    <mergeCell ref="A54:B54"/>
    <mergeCell ref="A58:B58"/>
    <mergeCell ref="A42:J42"/>
    <mergeCell ref="C78:D78"/>
    <mergeCell ref="E78:F78"/>
    <mergeCell ref="C77:D77"/>
    <mergeCell ref="E77:F77"/>
    <mergeCell ref="A61:B61"/>
    <mergeCell ref="E74:F74"/>
    <mergeCell ref="E75:F75"/>
    <mergeCell ref="C76:D76"/>
    <mergeCell ref="E76:F76"/>
    <mergeCell ref="C72:D72"/>
    <mergeCell ref="A69:B69"/>
    <mergeCell ref="A71:B71"/>
    <mergeCell ref="E72:F72"/>
    <mergeCell ref="E73:F73"/>
    <mergeCell ref="A68:B68"/>
    <mergeCell ref="C51:D51"/>
    <mergeCell ref="A56:B56"/>
    <mergeCell ref="A59:B59"/>
    <mergeCell ref="A67:B67"/>
    <mergeCell ref="A65:B65"/>
    <mergeCell ref="A64:B64"/>
    <mergeCell ref="A60:B60"/>
    <mergeCell ref="A63:B63"/>
    <mergeCell ref="A47:B47"/>
    <mergeCell ref="A2:I2"/>
    <mergeCell ref="A1:I1"/>
    <mergeCell ref="A3:I3"/>
    <mergeCell ref="A5:I5"/>
    <mergeCell ref="A8:I8"/>
    <mergeCell ref="A6:I6"/>
    <mergeCell ref="A4:I4"/>
    <mergeCell ref="A7:I7"/>
    <mergeCell ref="A50:B50"/>
    <mergeCell ref="A48:B48"/>
    <mergeCell ref="A57:B57"/>
    <mergeCell ref="C50:D50"/>
    <mergeCell ref="A51:B51"/>
    <mergeCell ref="A53:B53"/>
    <mergeCell ref="A26:J26"/>
    <mergeCell ref="A16:J16"/>
    <mergeCell ref="A9:I9"/>
    <mergeCell ref="A49:B49"/>
    <mergeCell ref="A13:J13"/>
    <mergeCell ref="A25:J25"/>
    <mergeCell ref="A38:J38"/>
    <mergeCell ref="A40:J40"/>
    <mergeCell ref="A31:J31"/>
    <mergeCell ref="A10:I10"/>
    <mergeCell ref="A27:J27"/>
    <mergeCell ref="A28:J28"/>
    <mergeCell ref="A11:I11"/>
    <mergeCell ref="A30:J30"/>
    <mergeCell ref="A15:J15"/>
    <mergeCell ref="A18:J18"/>
    <mergeCell ref="A21:J21"/>
    <mergeCell ref="A24:J24"/>
    <mergeCell ref="A19:J19"/>
    <mergeCell ref="A22:J22"/>
    <mergeCell ref="A14:J14"/>
    <mergeCell ref="C75:D75"/>
    <mergeCell ref="C74:D74"/>
    <mergeCell ref="E84:F84"/>
    <mergeCell ref="C87:D87"/>
    <mergeCell ref="C83:D83"/>
    <mergeCell ref="C84:D84"/>
    <mergeCell ref="C80:D80"/>
    <mergeCell ref="E80:F80"/>
    <mergeCell ref="C81:D81"/>
    <mergeCell ref="E81:F81"/>
    <mergeCell ref="C82:D82"/>
    <mergeCell ref="E82:F82"/>
    <mergeCell ref="E88:F88"/>
    <mergeCell ref="C85:D85"/>
    <mergeCell ref="C86:D86"/>
    <mergeCell ref="E83:F83"/>
    <mergeCell ref="C88:D88"/>
    <mergeCell ref="E85:F85"/>
    <mergeCell ref="E87:F87"/>
    <mergeCell ref="E86:F86"/>
  </mergeCells>
  <pageMargins left="0.75" right="0.75" top="1" bottom="1" header="0.5" footer="0.5"/>
  <ignoredErrors>
    <ignoredError numberStoredAsText="1" sqref="A1:U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81"/>
  <sheetViews>
    <sheetView workbookViewId="0" rightToLeft="0"/>
  </sheetViews>
  <cols>
    <col min="2" max="2" customWidth="1" width="9.7109375" level="0" outlineLevel="0"/>
    <col min="10" max="10" customWidth="1" width="12.28515625" level="0" outlineLevel="0"/>
    <col min="11" max="11" customWidth="1" width="21.140625" level="0" outlineLevel="0"/>
  </cols>
  <sheetData>
    <row r="1" ht="15.75" customHeight="1">
      <c r="A1" t="str">
        <v>АКТ</v>
      </c>
    </row>
    <row r="2" ht="15.75" customHeight="1">
      <c r="A2" t="str">
        <v>освидетельствования скрытых работ</v>
      </c>
    </row>
    <row r="3" ht="15.75" customHeight="1"/>
    <row r="4" ht="15.75" customHeight="1">
      <c r="A4" t="str">
        <v>г. Москва</v>
      </c>
      <c r="G4" t="e">
        <f>#REF!</f>
        <v>#REF!</v>
      </c>
    </row>
    <row r="5" ht="15.75" customHeight="1"/>
    <row r="6" ht="15.75" customHeight="1">
      <c r="A6" t="str">
        <v>Сооружение закрытого перехода</v>
      </c>
      <c r="F6" t="e">
        <f>#REF!</f>
        <v>#REF!</v>
      </c>
    </row>
    <row r="7" ht="15.75" customHeight="1">
      <c r="A7" t="str">
        <v>(наименование работ)</v>
      </c>
    </row>
    <row r="8" ht="15.75" customHeight="1"/>
    <row r="9" ht="40.5" customHeight="1">
      <c r="A9" t="e">
        <f>#REF!A13:K13</f>
        <v>#REF!</v>
      </c>
    </row>
    <row r="10" ht="12" customHeight="1">
      <c r="A10" t="str">
        <v>(наименование здания, сооружения)</v>
      </c>
    </row>
    <row r="11" ht="15.75" customHeight="1">
      <c r="A11" t="e">
        <f>#REF!A16:I16</f>
        <v>#REF!</v>
      </c>
    </row>
    <row r="12" ht="15.75" customHeight="1">
      <c r="A12" t="str">
        <v>(район застройки, квартал, улица, № дома и корпуса)</v>
      </c>
    </row>
    <row r="13" ht="15.75" customHeight="1">
      <c r="A13" t="str">
        <v>Комиссия в составе</v>
      </c>
      <c r="C13" t="e">
        <f>#REF!C18:K18</f>
        <v>#REF!</v>
      </c>
    </row>
    <row r="14" ht="15.75" customHeight="1">
      <c r="A14" t="str">
        <v>представителей:</v>
      </c>
      <c r="C14" t="e">
        <f>#REF!</f>
        <v>#REF!</v>
      </c>
    </row>
    <row r="15" ht="15.75" customHeight="1">
      <c r="A15" t="str">
        <v>Ф.И.О., организация)</v>
      </c>
      <c r="C15" t="e">
        <f>#REF!</f>
        <v>#REF!</v>
      </c>
    </row>
    <row r="16" hidden="1" ht="15.75" customHeight="1">
      <c r="C16" t="e">
        <f>#REF!C22:K22</f>
        <v>#REF!</v>
      </c>
    </row>
    <row r="17" ht="15.75" customHeight="1"/>
    <row r="18" ht="15.75" customHeight="1">
      <c r="A18" t="str">
        <v>Произвела осмотр работ выполненных</v>
      </c>
      <c r="E18" t="e">
        <f>#REF!E24:K24</f>
        <v>#REF!</v>
      </c>
    </row>
    <row r="19" ht="15.75" customHeight="1">
      <c r="A19" t="str">
        <v>и составила настоящий акт о нижеследующем:</v>
      </c>
    </row>
    <row r="20" ht="15.75" customHeight="1">
      <c r="B20" t="str">
        <v>1.      К освидетельствованию и приемке предъявлены следующие работы_______________________.</v>
      </c>
    </row>
    <row r="21" ht="15.75" customHeight="1"/>
    <row r="22" ht="15.75" customHeight="1">
      <c r="A22" t="str">
        <v>Устройство закрытого перехода</v>
      </c>
      <c r="F22" t="e">
        <f>#REF!E10</f>
        <v>#REF!</v>
      </c>
    </row>
    <row r="23" ht="15.75" customHeight="1">
      <c r="A23" t="str">
        <v xml:space="preserve"> (наименование скрытых работ)</v>
      </c>
    </row>
    <row r="24" ht="15.75" customHeight="1">
      <c r="B24" t="str">
        <v>2. Работы выполнены по проекту</v>
      </c>
      <c r="F24" t="str">
        <f>'Лист1'!A3</f>
        <v>Застройщик (технический заказчик, эксплуатирующая организация или региональный оператор)</v>
      </c>
    </row>
    <row r="25" ht="15.75" customHeight="1">
      <c r="B25" t="str">
        <v xml:space="preserve"> </v>
      </c>
    </row>
    <row r="26" ht="15.75" customHeight="1">
      <c r="A26" t="str">
        <f>'Лист1'!A6</f>
        <v>Лицо, осуществляющее строительство:</v>
      </c>
    </row>
    <row r="27" ht="15.75" customHeight="1">
      <c r="A27" t="str">
        <v xml:space="preserve"> (проект серии, наименование проектной организации, № чертежей и дата их составления)</v>
      </c>
    </row>
    <row r="28" ht="15.75" customHeight="1">
      <c r="B28" t="e">
        <f>#REF!</f>
        <v>#REF!</v>
      </c>
    </row>
    <row r="29" ht="15.75" customHeight="1">
      <c r="A29" t="str">
        <v xml:space="preserve">заглушки 225 мм трубы проходимы; капроновый шнур затянут; заглушки установлены     </v>
      </c>
    </row>
    <row r="30" ht="15.75" customHeight="1">
      <c r="A30" t="str">
        <v>(наименование материалов, конструкций с указанием марки, типа, категории качества и т.п.)</v>
      </c>
    </row>
    <row r="31" ht="15.75" customHeight="1">
      <c r="B31" t="str">
        <v>4. Дата начала работ</v>
      </c>
      <c r="E31" t="str">
        <f>'Лист1'!A9</f>
        <v>Лицо, осуществляющее подготовку проектной документации:</v>
      </c>
    </row>
    <row r="32" ht="15.75" customHeight="1"/>
    <row r="33" ht="15.75" customHeight="1">
      <c r="B33" t="str">
        <v xml:space="preserve">5. Дата окончания работ </v>
      </c>
      <c r="E33" t="e">
        <f>#REF!</f>
        <v>#REF!</v>
      </c>
    </row>
    <row r="34" ht="15.75" customHeight="1"/>
    <row r="35" ht="15.75" customHeight="1">
      <c r="A35" t="str">
        <v>РЕШЕНИЕ КОМИССИИ</v>
      </c>
    </row>
    <row r="36" ht="15.75" customHeight="1"/>
    <row r="37" ht="15.75" customHeight="1">
      <c r="B37" t="str">
        <v xml:space="preserve">Работы выполнены в соответствии с проектом, стандартами, строительными нормами и </v>
      </c>
    </row>
    <row r="38" ht="15.75" customHeight="1">
      <c r="A38" t="str">
        <v>отвечают требованиям их приемки.</v>
      </c>
    </row>
    <row r="39" ht="15.75" customHeight="1">
      <c r="B39" t="str">
        <v>На основании изложенного разрешается производство работ по устройству (монтажу)</v>
      </c>
    </row>
    <row r="40" ht="15.75" customHeight="1">
      <c r="A40" t="str">
        <v>прокладку эл. кабеля в закрытый переход</v>
      </c>
    </row>
    <row r="41" ht="15.75" customHeight="1"/>
    <row r="42" ht="15.75" customHeight="1">
      <c r="B42" t="e">
        <f>#REF!</f>
        <v>#REF!</v>
      </c>
    </row>
    <row r="43" ht="15.75" customHeight="1">
      <c r="B43" t="e">
        <f>#REF!</f>
        <v>#REF!</v>
      </c>
    </row>
    <row r="44" ht="15.75" customHeight="1">
      <c r="B44" t="e">
        <f>#REF!</f>
        <v>#REF!</v>
      </c>
    </row>
    <row r="45" hidden="1" ht="15.75" customHeight="1">
      <c r="B45" t="e">
        <f>#REF!</f>
        <v>#REF!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45">
    <mergeCell ref="A6:E6"/>
    <mergeCell ref="B46:J46"/>
    <mergeCell ref="B44:J44"/>
    <mergeCell ref="B45:J45"/>
    <mergeCell ref="A22:E22"/>
    <mergeCell ref="A38:D38"/>
    <mergeCell ref="B39:K39"/>
    <mergeCell ref="A40:K40"/>
    <mergeCell ref="B33:D33"/>
    <mergeCell ref="E33:K33"/>
    <mergeCell ref="F24:K24"/>
    <mergeCell ref="A35:K35"/>
    <mergeCell ref="B24:E24"/>
    <mergeCell ref="A29:K29"/>
    <mergeCell ref="B42:J42"/>
    <mergeCell ref="A26:K26"/>
    <mergeCell ref="B28:K28"/>
    <mergeCell ref="B20:K20"/>
    <mergeCell ref="A23:K23"/>
    <mergeCell ref="C17:K17"/>
    <mergeCell ref="P20:Y20"/>
    <mergeCell ref="B37:K37"/>
    <mergeCell ref="P24:Y24"/>
    <mergeCell ref="B31:D31"/>
    <mergeCell ref="E31:K31"/>
    <mergeCell ref="A30:K30"/>
    <mergeCell ref="A27:K27"/>
    <mergeCell ref="A12:K12"/>
    <mergeCell ref="P18:Y18"/>
    <mergeCell ref="A14:B14"/>
    <mergeCell ref="P16:Z16"/>
    <mergeCell ref="A18:D18"/>
    <mergeCell ref="E18:K18"/>
    <mergeCell ref="A15:B15"/>
    <mergeCell ref="C15:K15"/>
    <mergeCell ref="A19:K19"/>
    <mergeCell ref="A7:K7"/>
    <mergeCell ref="A9:K9"/>
    <mergeCell ref="A10:K10"/>
    <mergeCell ref="A11:I11"/>
    <mergeCell ref="A1:K1"/>
    <mergeCell ref="A2:K2"/>
    <mergeCell ref="A4:B4"/>
    <mergeCell ref="G4:K4"/>
    <mergeCell ref="A13:B13"/>
  </mergeCells>
  <pageMargins left="0.2362204724409449" right="0.1968503937007874" top="0.5118110236220472" bottom="0.4330708661417323" header="0.31496062992125984" footer="0.2362204724409449"/>
  <ignoredErrors>
    <ignoredError numberStoredAsText="1" sqref="A1:Z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7"/>
  <sheetViews>
    <sheetView workbookViewId="0" rightToLeft="0"/>
  </sheetViews>
  <cols>
    <col min="1" max="1" customWidth="1" width="9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</cols>
  <sheetData>
    <row r="1" ht="15" customHeight="1">
      <c r="A1" t="str">
        <v>Объект капитального строительства:</v>
      </c>
    </row>
    <row r="2" ht="50.1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 ht="15" customHeight="1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CONCATENATE('Лист1'!A7," ",'Лист1'!A8)</f>
        <v>ООО «СМК» 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CONCATENATE('Лист1'!A10," ",'Лист1'!A11)</f>
        <v xml:space="preserve">ООО «СМК» 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5" customHeight="1">
      <c r="A14" t="str">
        <v>АКТ</v>
      </c>
    </row>
    <row r="15" ht="15" customHeight="1">
      <c r="A15" t="str">
        <v>разбивки осей объекта капитального строительства на местности</v>
      </c>
    </row>
    <row r="17">
      <c r="A17" t="str">
        <f>'Лист1'!B73</f>
        <v>№1/1</v>
      </c>
      <c r="L17" s="1">
        <f>'Лист1'!E73</f>
        <v>45957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CONCATENATE('Лист1'!A14," ",'Лист1'!A15)</f>
        <v>Заместитель начальника УКС ЮВО МКС филиал ПАО «РОССЕТИ МОСКОВСКИЙ РЕГИОН» Гусев П.А. 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 Представитель лица, осуществляющего строительство, реконструкцию, капитальный ремонт: 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>Представитель лица, осуществляющего строительство, реконструкцию, капитальный ремонт по вопросам строительного  контроля: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20.1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1" ht="15" customHeight="1">
      <c r="A31" t="str">
        <v>Представитель лица, выполнившего работы по разбивке осей объекта капитального  строительства  на местности:</v>
      </c>
    </row>
    <row r="32" ht="60" customHeight="1">
      <c r="A32" t="str">
        <f>CONCATENATE('Лист1'!A26,'Лист1'!A27,'Лист1'!A28,'Лист1'!A29)</f>
        <v>Главный инженер ООО «СКМ-ГРУПП» Картавченко А.Л.,Приказ №25-11-03-1 от 03.11.2023 г.ООО «СКМ-ГРУПП»ОГРН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0.1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 ht="15" customHeight="1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 (при наличии), фамилия, инициалы, реквизиты распорядительного документа, подтверждающего полномочия)</v>
      </c>
    </row>
    <row r="37" ht="15.75" customHeight="1">
      <c r="A37" t="str">
        <v xml:space="preserve">и составили настоящий акт о том, что произведена в натуре разбивка осей: </v>
      </c>
    </row>
    <row r="38" ht="15" customHeight="1">
      <c r="A38" t="str">
        <f>CONCATENATE("Закрытого перехода методом ГНБ ",'Лист1'!C49," расположенного по адресу"," ", 'Лист1'!C48, )</f>
        <v>Закрытого перехода методом ГНБ №1  расположенного по адресу г. Москва, Салтыковская ул. д.5А</v>
      </c>
    </row>
    <row r="39"/>
    <row r="40">
      <c r="A40" t="str">
        <v>При этом установлено:</v>
      </c>
    </row>
    <row r="41" ht="15.75" customHeight="1">
      <c r="A41" t="str">
        <v xml:space="preserve">1. Разбивка произведена по данным: </v>
      </c>
    </row>
    <row r="42" ht="60" customHeight="1">
      <c r="A42" t="str">
        <f>CONCATENATE("Проекта:"," ",'Лист1'!C67," шифр:"," ", 'Лист1'!C68," Тиутул:"," ",'Лист1'!A2,)</f>
        <v xml:space="preserve">Проекта: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3">
      <c r="A43" t="str">
        <v>(номер, другие реквизиты чертежа, наименование объекта капитального строительства)</v>
      </c>
    </row>
    <row r="44">
      <c r="A44" t="str">
        <v xml:space="preserve">2. Закрепление осей произведено: </v>
      </c>
      <c r="E44" t="str">
        <v xml:space="preserve">колышками разбивки при помощи при помощи спутниковой геодезической аппаратуры </v>
      </c>
    </row>
    <row r="45" ht="5.25" customHeight="1"/>
    <row r="46">
      <c r="A46" t="str">
        <v>3. Обозначение осей, нумерация и расположение точек соответствует проектной документации.</v>
      </c>
    </row>
    <row r="47"/>
    <row r="48" ht="30" customHeight="1">
      <c r="A48" t="str">
        <v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актам:</v>
      </c>
    </row>
    <row r="49" ht="60.75" customHeight="1">
      <c r="A49" t="str">
        <f>CONCATENATE("Проекта:"," ",'Лист1'!C67," шифр:"," ", 'Лист1'!C68," Тиутул:"," ",'Лист1'!A2,"СП 126.13330.2017 «Геодезические работы в строительстве»")</f>
        <v>Проекта: ООО «СМК»  шифр: 345716/ПС-25 Тиутул: «Строительство 8КЛ-0,4 кВ от ТП-10/0,4кВ № 22172 до ВРУ-0,4кВ №1 Заявителя, в т.ч. ПИР: г.Москва, ул. Салтыковская, д.5А» СП 126.13330.2017 «Геодезические работы в строительстве»</v>
      </c>
    </row>
    <row r="50" ht="20.1" customHeight="1">
      <c r="A50" t="str">
        <v>(номер, другие реквизиты чертежа, наименование объекта капитального строительства, сведения о лицах, осуществляющих подготовку проектной документации, наименование, статьи (пункты) технического регламента (норм и правил), иных нормативных правовых актов)</v>
      </c>
    </row>
    <row r="51">
      <c r="A51" t="str">
        <v>и выполнены с соблюдением заданной точности построений и измерений.</v>
      </c>
    </row>
    <row r="52"/>
    <row r="53">
      <c r="A53" t="str">
        <v xml:space="preserve">Дополнительные сведения: </v>
      </c>
      <c r="D53" t="str">
        <v>отсутствуют</v>
      </c>
    </row>
    <row r="54">
      <c r="A54" t="str">
        <f>CONCATENATE("Акт составлен в"," ",'Лист1'!K72," экземплярах",)</f>
        <v>Акт составлен в 2 экземплярах</v>
      </c>
    </row>
    <row r="55"/>
    <row r="56">
      <c r="A56" t="str">
        <v xml:space="preserve">Приложения: </v>
      </c>
    </row>
    <row r="57">
      <c r="A57">
        <v>1</v>
      </c>
    </row>
    <row r="58">
      <c r="A58">
        <v>2</v>
      </c>
    </row>
    <row r="59"/>
    <row r="60" ht="30" customHeight="1">
      <c r="A60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1" ht="15" customHeight="1">
      <c r="A61" t="str">
        <f>'Лист1'!B35</f>
        <v>Гусев П.А.</v>
      </c>
    </row>
    <row r="62">
      <c r="A62" t="str">
        <v>(фамилия, инициалы, подпись)</v>
      </c>
    </row>
    <row r="63" ht="15" customHeight="1">
      <c r="A63" t="str">
        <v>Представитель лица, осуществляющего строительство, реконструкцию, капитальный ремонт:</v>
      </c>
    </row>
    <row r="64" ht="15" customHeight="1">
      <c r="A64" t="str">
        <f>'Лист1'!B39</f>
        <v>Тишков В.А.</v>
      </c>
    </row>
    <row r="65">
      <c r="A65" t="str">
        <v>(фамилия, инициалы, подпись)</v>
      </c>
    </row>
    <row r="66" ht="15" customHeight="1">
      <c r="A66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67" ht="15" customHeight="1">
      <c r="A67" t="str">
        <f>'Лист1'!B37</f>
        <v>Прошин Н.Н.</v>
      </c>
    </row>
    <row r="68">
      <c r="A68" t="str">
        <v>(фамилия, инициалы, подпись)</v>
      </c>
    </row>
    <row r="69" ht="45" customHeight="1">
      <c r="A69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0" ht="15" customHeight="1">
      <c r="A70" t="str">
        <f>'Лист1'!B41</f>
        <v>Сергеев А.А.</v>
      </c>
    </row>
    <row r="71">
      <c r="A71" t="str">
        <v>(фамилия, инициалы, подпись)</v>
      </c>
    </row>
    <row r="72" ht="15" customHeight="1">
      <c r="A72" t="str">
        <v>Представитель лица, выполнившего работы по разбивке осей объекта капитального строительства на местности:</v>
      </c>
    </row>
    <row r="73" ht="15" customHeight="1">
      <c r="A73" t="str">
        <f>'Лист1'!B43</f>
        <v>Картавченко А.Л.</v>
      </c>
    </row>
    <row r="74">
      <c r="A74" t="str">
        <v>(фамилия, инициалы, подпись)</v>
      </c>
    </row>
    <row r="75">
      <c r="A75" t="str">
        <v>Представители иных лиц технического заказчика:</v>
      </c>
    </row>
    <row r="76" ht="15" customHeight="1">
      <c r="A76" t="str">
        <f>'Лист1'!B45</f>
        <v>Рящиков М.Ю.</v>
      </c>
    </row>
    <row r="77">
      <c r="A77" t="str">
        <v>(фамилия, инициалы, подпись)</v>
      </c>
    </row>
  </sheetData>
  <mergeCells count="50">
    <mergeCell ref="A45:M45"/>
    <mergeCell ref="A2:M2"/>
    <mergeCell ref="A5:M5"/>
    <mergeCell ref="A8:M8"/>
    <mergeCell ref="A6:M6"/>
    <mergeCell ref="A9:M9"/>
    <mergeCell ref="A11:M11"/>
    <mergeCell ref="A48:M48"/>
    <mergeCell ref="A4:M4"/>
    <mergeCell ref="A26:M26"/>
    <mergeCell ref="A43:M43"/>
    <mergeCell ref="A42:M42"/>
    <mergeCell ref="A30:M30"/>
    <mergeCell ref="A33:M33"/>
    <mergeCell ref="A25:M25"/>
    <mergeCell ref="A36:M36"/>
    <mergeCell ref="A12:M12"/>
    <mergeCell ref="A14:M14"/>
    <mergeCell ref="A15:M15"/>
    <mergeCell ref="A21:M21"/>
    <mergeCell ref="A24:M24"/>
    <mergeCell ref="A27:M27"/>
    <mergeCell ref="L17:M17"/>
    <mergeCell ref="A20:M20"/>
    <mergeCell ref="A23:M23"/>
    <mergeCell ref="A68:M68"/>
    <mergeCell ref="A62:M62"/>
    <mergeCell ref="A65:M65"/>
    <mergeCell ref="A77:M77"/>
    <mergeCell ref="A74:M74"/>
    <mergeCell ref="A71:M71"/>
    <mergeCell ref="A66:M66"/>
    <mergeCell ref="A69:M69"/>
    <mergeCell ref="A72:M72"/>
    <mergeCell ref="A60:M60"/>
    <mergeCell ref="A63:M63"/>
    <mergeCell ref="A49:M49"/>
    <mergeCell ref="A50:M50"/>
    <mergeCell ref="D53:E53"/>
    <mergeCell ref="A57:B57"/>
    <mergeCell ref="A58:B58"/>
    <mergeCell ref="E44:M44"/>
    <mergeCell ref="A28:M28"/>
    <mergeCell ref="A22:M22"/>
    <mergeCell ref="A19:M19"/>
    <mergeCell ref="A31:M31"/>
    <mergeCell ref="A29:M29"/>
    <mergeCell ref="A32:M32"/>
    <mergeCell ref="A35:M35"/>
    <mergeCell ref="A38:M38"/>
  </mergeCells>
  <pageMargins left="0.23622047244094488" right="0.23622047244094488" top="0.7480314960629921" bottom="0.7480314960629921" header="0.31496062992125984" footer="0.31496062992125984"/>
  <ignoredErrors>
    <ignoredError numberStoredAsText="1" sqref="A1:M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85"/>
  <sheetViews>
    <sheetView workbookViewId="0" rightToLeft="0"/>
  </sheetViews>
  <cols>
    <col min="1" max="1" customWidth="1" width="10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</cols>
  <sheetData>
    <row r="1">
      <c r="A1" t="str">
        <v>Объект капитального строительства:</v>
      </c>
    </row>
    <row r="2" ht="37.5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CONCATENATE('Лист1'!A7,'Лист1'!A8)</f>
        <v>ООО «СМК»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CONCATENATE('Лист1'!A10,'Лист1'!A11)</f>
        <v xml:space="preserve">ООО «СМК»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5" customHeight="1">
      <c r="A14" t="str">
        <v>АКТ</v>
      </c>
    </row>
    <row r="15" ht="15" customHeight="1">
      <c r="A15" t="str">
        <v>освидетельствования скрытых работ</v>
      </c>
    </row>
    <row r="16">
      <c r="A16" t="str">
        <v>(разработка приемного и рабочего котлованов)</v>
      </c>
    </row>
    <row r="17">
      <c r="A17" t="str">
        <f>'Лист1'!B74</f>
        <v>№1/2</v>
      </c>
      <c r="L17" s="1">
        <f>'Лист1'!E74</f>
        <v>45957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CONCATENATE('Лист1'!A14,'Лист1'!A15)</f>
        <v>Заместитель начальника УКС ЮВО МКС филиал ПАО «РОССЕТИ МОСКОВСКИЙ РЕГИОН» Гусев П.А.ИНРС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Представитель лица, осуществляющего строительство, реконструкцию, капитальный ремонт: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 xml:space="preserve">Представитель лица, осуществляющего строительство, реконструкцию, капитальный ремонт по вопросам строительного  контроля: 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48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 (в случае осуществления авторского надзора лицом, не являющимся разработчиком проектной документации), полное и (или) сокращенное наименование, ОГРН, ИНН саморегулируемой организации, членом которой является указанное юридическое лицо,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v>
      </c>
    </row>
    <row r="31" ht="30" customHeight="1">
      <c r="A31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v>
      </c>
    </row>
    <row r="32" ht="60" customHeight="1">
      <c r="A32" t="str">
        <f>CONCATENATE('Лист1'!A26,'Лист1'!A27,'Лист1'!A28,'Лист1'!A29)</f>
        <v>Главный инженер ООО «СКМ-ГРУПП» Картавченко А.Л.,Приказ №25-11-03-1 от 03.11.2023 г.ООО «СКМ-ГРУПП»ОГРН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4.95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(должность, фамилия, инициалы, реквизиты документа о представительстве)</v>
      </c>
    </row>
    <row r="37" ht="15.75" customHeight="1">
      <c r="A37" t="str">
        <v xml:space="preserve">произвели осмотр работ, выполненных: </v>
      </c>
    </row>
    <row r="38" ht="15" customHeight="1">
      <c r="A38" t="str">
        <f>'Лист1'!C69</f>
        <v xml:space="preserve"> ООО «СКМ-ГРУПП»</v>
      </c>
    </row>
    <row r="39">
      <c r="A39" t="str">
        <v>(наименование лица, осуществляющего строительство, выполнившего работы)</v>
      </c>
    </row>
    <row r="40">
      <c r="A40" t="str">
        <v>и составили настоящий акт о нижеследующем:</v>
      </c>
    </row>
    <row r="41" ht="15.75" customHeight="1">
      <c r="A41" t="str">
        <v xml:space="preserve">1. К освидетельствованию представлены следующие работы:: </v>
      </c>
    </row>
    <row r="42" ht="30" customHeight="1">
      <c r="A42" t="str">
        <f>CONCATENATE("Разработка грунта вручную в котлованах глубиной до 2 м без креплений с откосами группа грунтов 1-3 для устройства рабочего и приемного котлованов закрытого перехода ",'Лист1'!C49," методом ГНБ по адресу: ",'Лист1'!C48,"")</f>
        <v>Разработка грунта вручную в котлованах глубиной до 2 м без креплений с откосами группа грунтов 1-3 для устройства рабочего и приемного котлованов закрытого перехода №1  методом ГНБ по адресу: г. Москва, Салтыковская ул. д.5А</v>
      </c>
    </row>
    <row r="43">
      <c r="A43" t="str">
        <v>(наименование скрытых работ)</v>
      </c>
    </row>
    <row r="44">
      <c r="A44" t="str">
        <v>2. Работы выполнены в соответствии с:</v>
      </c>
    </row>
    <row r="45" ht="60" customHeight="1">
      <c r="A45" t="str">
        <f>CONCATENATE("Проектом:"," ",'Лист1'!C67," шифр:"," ", 'Лист1'!C68," Тиутул:"," ",'Лист1'!A2,)</f>
        <v xml:space="preserve">Проектом: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6">
      <c r="A46" t="str">
        <v>(номер, другие реквизиты чертежа, наименование проектной или рабочей документации, сведения о лицах, осуществляющих подготовку, раздела проектной и/или рабочей документации)</v>
      </c>
    </row>
    <row r="47">
      <c r="A47" t="str">
        <v>3. При выполнении работ применены:</v>
      </c>
    </row>
    <row r="48" ht="15" customHeight="1"/>
    <row r="49">
      <c r="A49" t="str">
        <v>(наименование строительных материалов(изделий) со ссылкой на сертификаты или другие документы, подтверждающие качество)</v>
      </c>
    </row>
    <row r="50">
      <c r="A50" t="str">
        <v>4.Предъявлены документы, подтверждающие соответствие работ предъявляемым к ним требованиям:</v>
      </c>
    </row>
    <row r="51" ht="15" customHeight="1"/>
    <row r="52">
      <c r="A52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3">
      <c r="A53" t="str">
        <v xml:space="preserve">5. Даты: </v>
      </c>
      <c r="B53" t="str">
        <v>начало работ:</v>
      </c>
      <c r="D53" s="1">
        <f>'Лист1'!C74</f>
        <v>45957</v>
      </c>
    </row>
    <row r="54">
      <c r="B54" t="str">
        <v>окончание работ:</v>
      </c>
      <c r="D54" s="1">
        <f>'Лист1'!E74</f>
        <v>45957</v>
      </c>
    </row>
    <row r="55">
      <c r="A55" t="str">
        <v xml:space="preserve">6. Работы выполнены в соответствии с: </v>
      </c>
    </row>
    <row r="56" ht="30" customHeight="1">
      <c r="A56" t="str">
        <f>CONCATENATE("Проектом:"," ",'Лист1'!C67," шифр:"," ", 'Лист1'!C68,", Правила подготовки и производства земляных работ, обустройства и содержания строительных площадок в г. Москва, ПП Москвы 299-ПП от 19.05.2015г.",)</f>
        <v>Проектом: ООО «СМК»  шифр: 345716/ПС-25, Правила подготовки и производства земляных работ, обустройства и содержания строительных площадок в г. Москва, ПП Москвы 299-ПП от 19.05.2015г.</v>
      </c>
    </row>
    <row r="57">
      <c r="A57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8">
      <c r="A58" t="str">
        <v xml:space="preserve">7. Разрешается производство последующих работ по: </v>
      </c>
    </row>
    <row r="59">
      <c r="A59" t="str">
        <f>CONCATENATE("Строительство пилотной скважины закрытого перехода"," ",'Лист1'!C49,)</f>
        <v xml:space="preserve">Строительство пилотной скважины закрытого перехода №1 </v>
      </c>
    </row>
    <row r="60">
      <c r="A60" t="str">
        <v>(наименование работ, конструкций, участков сетей инженерно-технического обеспечения)</v>
      </c>
    </row>
    <row r="61">
      <c r="A61" t="str">
        <v xml:space="preserve">Дополнительные сведения: </v>
      </c>
      <c r="D61" t="str">
        <v>отсутствуют</v>
      </c>
    </row>
    <row r="62">
      <c r="A62" t="str">
        <f>CONCATENATE("Акт составлен в"," ",'Лист1'!K72," экземплярах",)</f>
        <v>Акт составлен в 2 экземплярах</v>
      </c>
    </row>
    <row r="63"/>
    <row r="64">
      <c r="A64" t="str">
        <v xml:space="preserve">Приложения: </v>
      </c>
    </row>
    <row r="65">
      <c r="A65" t="str">
        <v>В соответствии с п.3,4</v>
      </c>
    </row>
    <row r="66"/>
    <row r="67"/>
    <row r="68" ht="30" customHeight="1">
      <c r="A68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9" ht="15" customHeight="1">
      <c r="A69" t="str">
        <f>'Лист1'!B35</f>
        <v>Гусев П.А.</v>
      </c>
    </row>
    <row r="70">
      <c r="A70" t="str">
        <v>(фамилия, инициалы, подпись)</v>
      </c>
    </row>
    <row r="71" ht="15" customHeight="1">
      <c r="A71" t="str">
        <v>Представитель лица, осуществляющего строительство, реконструкцию, капитальный ремонт:</v>
      </c>
    </row>
    <row r="72" ht="15" customHeight="1">
      <c r="A72" t="str">
        <f>'Лист1'!B39</f>
        <v>Тишков В.А.</v>
      </c>
    </row>
    <row r="73">
      <c r="A73" t="str">
        <v>(фамилия, инициалы, подпись)</v>
      </c>
    </row>
    <row r="74" ht="15" customHeight="1">
      <c r="A74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75" ht="15" customHeight="1">
      <c r="A75" t="str">
        <f>'Лист1'!B37</f>
        <v>Прошин Н.Н.</v>
      </c>
    </row>
    <row r="76">
      <c r="A76" t="str">
        <v>(фамилия, инициалы, подпись)</v>
      </c>
    </row>
    <row r="77" ht="45" customHeight="1">
      <c r="A77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8" ht="15" customHeight="1">
      <c r="A78" t="str">
        <f>'Лист1'!B41</f>
        <v>Сергеев А.А.</v>
      </c>
    </row>
    <row r="79">
      <c r="A79" t="str">
        <v>(фамилия, инициалы, подпись)</v>
      </c>
    </row>
    <row r="80" ht="30" customHeight="1">
      <c r="A80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лицами):</v>
      </c>
    </row>
    <row r="81" ht="15" customHeight="1">
      <c r="A81" t="str">
        <f>'Лист1'!B43</f>
        <v>Картавченко А.Л.</v>
      </c>
    </row>
    <row r="82">
      <c r="A82" t="str">
        <v>(фамилия, инициалы, подпись)</v>
      </c>
    </row>
    <row r="83">
      <c r="A83" t="str">
        <v>Представители иных лиц технического заказчика:</v>
      </c>
    </row>
    <row r="84" ht="15" customHeight="1">
      <c r="A84" t="str">
        <f>'Лист1'!B45</f>
        <v>Рящиков М.Ю.</v>
      </c>
    </row>
    <row r="85">
      <c r="A85" t="str">
        <v>(фамилия, инициалы, подпись)</v>
      </c>
    </row>
  </sheetData>
  <mergeCells count="58">
    <mergeCell ref="A12:M12"/>
    <mergeCell ref="A2:M2"/>
    <mergeCell ref="A5:M5"/>
    <mergeCell ref="A6:M6"/>
    <mergeCell ref="A8:M8"/>
    <mergeCell ref="A9:M9"/>
    <mergeCell ref="A11:M11"/>
    <mergeCell ref="A14:M14"/>
    <mergeCell ref="A15:M15"/>
    <mergeCell ref="L17:M17"/>
    <mergeCell ref="A20:M20"/>
    <mergeCell ref="A21:M21"/>
    <mergeCell ref="A19:M19"/>
    <mergeCell ref="A16:M16"/>
    <mergeCell ref="A23:M23"/>
    <mergeCell ref="A24:M24"/>
    <mergeCell ref="A27:M27"/>
    <mergeCell ref="A28:M28"/>
    <mergeCell ref="A30:M30"/>
    <mergeCell ref="A31:M31"/>
    <mergeCell ref="A25:M25"/>
    <mergeCell ref="A26:M26"/>
    <mergeCell ref="A29:M29"/>
    <mergeCell ref="A33:M33"/>
    <mergeCell ref="A36:M36"/>
    <mergeCell ref="A38:M38"/>
    <mergeCell ref="A39:M39"/>
    <mergeCell ref="A42:M42"/>
    <mergeCell ref="A48:M48"/>
    <mergeCell ref="A43:M43"/>
    <mergeCell ref="A45:M45"/>
    <mergeCell ref="A46:M46"/>
    <mergeCell ref="A49:M49"/>
    <mergeCell ref="A59:M59"/>
    <mergeCell ref="A60:M60"/>
    <mergeCell ref="A52:M52"/>
    <mergeCell ref="A57:M57"/>
    <mergeCell ref="B53:C53"/>
    <mergeCell ref="B54:C54"/>
    <mergeCell ref="A56:M56"/>
    <mergeCell ref="D53:E53"/>
    <mergeCell ref="D54:E54"/>
    <mergeCell ref="A82:M82"/>
    <mergeCell ref="A85:M85"/>
    <mergeCell ref="A32:M32"/>
    <mergeCell ref="A35:M35"/>
    <mergeCell ref="A68:M68"/>
    <mergeCell ref="A71:M71"/>
    <mergeCell ref="A73:M73"/>
    <mergeCell ref="D61:E61"/>
    <mergeCell ref="A79:M79"/>
    <mergeCell ref="A51:M51"/>
    <mergeCell ref="A76:M76"/>
    <mergeCell ref="A77:M77"/>
    <mergeCell ref="A80:M80"/>
    <mergeCell ref="A66:B66"/>
    <mergeCell ref="A70:M70"/>
    <mergeCell ref="A74:M74"/>
  </mergeCells>
  <pageMargins left="0.25" right="0.25" top="0.75" bottom="0.75" header="0.3" footer="0.3"/>
  <ignoredErrors>
    <ignoredError numberStoredAsText="1" sqref="A1:M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85"/>
  <sheetViews>
    <sheetView workbookViewId="0" rightToLeft="0"/>
  </sheetViews>
  <cols>
    <col min="1" max="1" customWidth="1" width="9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</cols>
  <sheetData>
    <row r="1">
      <c r="A1" t="str">
        <v>Объект капитального строительства:</v>
      </c>
    </row>
    <row r="2" ht="50.1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CONCATENATE('Лист1'!A7,'Лист1'!A8)</f>
        <v>ООО «СМК»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CONCATENATE('Лист1'!A10,'Лист1'!A11)</f>
        <v xml:space="preserve">ООО «СМК»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2.75" customHeight="1">
      <c r="A14" t="str">
        <v>АКТ</v>
      </c>
    </row>
    <row r="15" ht="12.75" customHeight="1">
      <c r="A15" t="str">
        <v>освидетельствования скрытых работ</v>
      </c>
    </row>
    <row r="16">
      <c r="A16" t="str">
        <v>(приемка пилотной скважины)</v>
      </c>
    </row>
    <row r="17">
      <c r="A17" t="str">
        <f>'Лист1'!B75</f>
        <v>№1/3</v>
      </c>
      <c r="L17" s="1">
        <f>'Лист1'!E75</f>
        <v>45958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CONCATENATE('Лист1'!A14,'Лист1'!A15)</f>
        <v>Заместитель начальника УКС ЮВО МКС филиал ПАО «РОССЕТИ МОСКОВСКИЙ РЕГИОН» Гусев П.А.ИНРС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Представитель лица, осуществляющего строительство, реконструкцию, капитальный ремонт: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 xml:space="preserve">Представитель лица, осуществляющего строительство, реконструкцию, капитальный ремонт по вопросам строительного  контроля: 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39.95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 (в случае осуществления авторского надзора лицом, не являющимся разработчиком проектной документации), полное и (или) сокращенное наименование, ОГРН, ИНН саморегулируемой организации, членом которой является указанное юридическое лицо,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v>
      </c>
    </row>
    <row r="31" ht="30" customHeight="1">
      <c r="A31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v>
      </c>
    </row>
    <row r="32" ht="45" customHeight="1">
      <c r="A32" t="str">
        <f>CONCATENATE('Лист1'!A26,'Лист1'!A27,'Лист1'!A29)</f>
        <v>Главный инженер ООО «СКМ-ГРУПП» Картавченко А.Л.,Приказ №25-11-03-1 от 03.11.2023 г.ОГРН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4.95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(должность, фамилия, инициалы, реквизиты документа о представительстве)</v>
      </c>
    </row>
    <row r="37" ht="15.75" customHeight="1">
      <c r="A37" t="str">
        <v xml:space="preserve">произвели осмотр работ, выполненных: </v>
      </c>
    </row>
    <row r="38" ht="15" customHeight="1">
      <c r="A38" t="str">
        <f>'Лист1'!C69</f>
        <v xml:space="preserve"> ООО «СКМ-ГРУПП»</v>
      </c>
    </row>
    <row r="39">
      <c r="A39" t="str">
        <v>(наименование лица, осуществляющего строительство, выполнившего работы)</v>
      </c>
    </row>
    <row r="40">
      <c r="A40" t="str">
        <v>и составили настоящий акт о нижеследующем:</v>
      </c>
    </row>
    <row r="41" ht="15.75" customHeight="1">
      <c r="A41" t="str">
        <v xml:space="preserve">1. К освидетельствованию представлены следующие работы:: </v>
      </c>
    </row>
    <row r="42" ht="30" customHeight="1">
      <c r="A42" t="str">
        <v>Бурение пилотной скважины ГНБ №1, расположенног по адресу: ул. Сатлтыковская д.5А</v>
      </c>
    </row>
    <row r="43">
      <c r="A43" t="str">
        <v>(наименование скрытых работ)</v>
      </c>
    </row>
    <row r="44">
      <c r="A44" t="str">
        <v>2. Работы выполнены в соответствии с:</v>
      </c>
    </row>
    <row r="45" ht="60" customHeight="1">
      <c r="A45" t="str">
        <f>CONCATENATE("Проектом:"," ",'Лист1'!C67," шифр:"," ", 'Лист1'!C68," Тиутул:"," ",'Лист1'!A2,)</f>
        <v xml:space="preserve">Проектом: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6">
      <c r="A46" t="str">
        <v>(номер, другие реквизиты чертежа, наименование проектной или рабочей документации, сведения о лицах, осуществляющих подготовку, раздела проектной и/или рабочей документации)</v>
      </c>
    </row>
    <row r="47">
      <c r="A47" t="str">
        <v>3. При выполнении работ применены:</v>
      </c>
    </row>
    <row r="48" ht="45" customHeight="1">
      <c r="A48" t="str">
        <f>CONCATENATE(,"1.",'Лист1'!C63,";2.",'Лист1'!C64,)</f>
        <v>1.Глинопорошок бентонитовый для горизонтального бурения "Bentopro standart", сертификат соответствия: RU.32468.04ЛЕГО.010.3869;2.Ингибитор глины «BentoPro PHPA»</v>
      </c>
    </row>
    <row r="49">
      <c r="A49" t="str">
        <v>(наименование строительных материалов(изделий) со ссылкой на сертификаты или другие документы, подтверждающие качество)</v>
      </c>
    </row>
    <row r="50">
      <c r="A50" t="str">
        <v>4.    Предъявлены документы, подтверждающие соответствие работ предъявляемым к ним требованиям:</v>
      </c>
    </row>
    <row r="51" ht="30" customHeight="1">
      <c r="A51" t="str">
        <f>CONCATENATE("1. Протокол бурения скважины закрытого перехода "," ",'Лист1'!C49," 2. Исполнительный чертеж закрытого перехода"," ", 'Лист1'!C49," 3. Журнал контроля параметров бурового раствора 4. Журнал производства буровых работ", )</f>
        <v>1. Протокол бурения скважины закрытого перехода  №1  2. Исполнительный чертеж закрытого перехода №1  3. Журнал контроля параметров бурового раствора 4. Журнал производства буровых работ</v>
      </c>
    </row>
    <row r="52">
      <c r="A52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3">
      <c r="A53" t="str">
        <v xml:space="preserve">5. Даты: </v>
      </c>
      <c r="B53" t="str">
        <v>начало работ:</v>
      </c>
      <c r="D53" s="1">
        <f>'Лист1'!C75</f>
        <v>45958</v>
      </c>
    </row>
    <row r="54">
      <c r="B54" t="str">
        <v>окончание работ:</v>
      </c>
      <c r="D54" s="1">
        <f>'Лист1'!E75</f>
        <v>45958</v>
      </c>
    </row>
    <row r="55">
      <c r="A55" t="str">
        <v xml:space="preserve">6. Работы выполнены в соответствии с: </v>
      </c>
    </row>
    <row r="56" ht="45" customHeight="1">
      <c r="A56" t="str">
        <f>CONCATENATE("Проектом:"," ",'Лист1'!C67," шифр:"," ", 'Лист1'!C68,"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бурением",)</f>
        <v>Проектом: ООО «СМК»  шифр: 345716/ПС-25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</v>
      </c>
    </row>
    <row r="57">
      <c r="A57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8">
      <c r="A58" t="str">
        <v xml:space="preserve">7. Разрешается производство последующих работ по: </v>
      </c>
    </row>
    <row r="59">
      <c r="A59" t="str">
        <f>CONCATENATE("Поэтапное расширение скважины закрытого перехода "," ",'Лист1'!C49,)</f>
        <v xml:space="preserve">Поэтапное расширение скважины закрытого перехода  №1 </v>
      </c>
    </row>
    <row r="60">
      <c r="A60" t="str">
        <v>(наименование работ, конструкций, участков сетей инженерно-технического обеспечения)</v>
      </c>
    </row>
    <row r="61">
      <c r="A61" t="str">
        <v xml:space="preserve">Дополнительные сведения: </v>
      </c>
      <c r="D61" t="str">
        <v>отсутствуют</v>
      </c>
    </row>
    <row r="62">
      <c r="A62" t="str">
        <f>CONCATENATE("Акт составлен в"," ",'Лист1'!K72," экземплярах",)</f>
        <v>Акт составлен в 2 экземплярах</v>
      </c>
    </row>
    <row r="63"/>
    <row r="64">
      <c r="A64" t="str">
        <v xml:space="preserve">Приложения: </v>
      </c>
    </row>
    <row r="65">
      <c r="A65" t="str">
        <v>1. В соответствии с п.3 и п.4</v>
      </c>
    </row>
    <row r="66">
      <c r="A66">
        <v>2</v>
      </c>
    </row>
    <row r="67"/>
    <row r="68" ht="30" customHeight="1">
      <c r="A68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9" ht="15" customHeight="1">
      <c r="A69" t="str">
        <f>'Лист1'!B35</f>
        <v>Гусев П.А.</v>
      </c>
    </row>
    <row r="70">
      <c r="A70" t="str">
        <v>(фамилия, инициалы, подпись)</v>
      </c>
    </row>
    <row r="71" ht="15" customHeight="1">
      <c r="A71" t="str">
        <v>Представитель лица, осуществляющего строительство, реконструкцию, капитальный ремонт:</v>
      </c>
    </row>
    <row r="72" ht="15" customHeight="1">
      <c r="A72" t="str">
        <f>'Лист1'!B39</f>
        <v>Тишков В.А.</v>
      </c>
    </row>
    <row r="73">
      <c r="A73" t="str">
        <v>(фамилия, инициалы, подпись)</v>
      </c>
    </row>
    <row r="74" ht="15" customHeight="1">
      <c r="A74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75" ht="15" customHeight="1">
      <c r="A75" t="str">
        <f>'Лист1'!B37</f>
        <v>Прошин Н.Н.</v>
      </c>
    </row>
    <row r="76">
      <c r="A76" t="str">
        <v>(фамилия, инициалы, подпись)</v>
      </c>
    </row>
    <row r="77" ht="45" customHeight="1">
      <c r="A77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8" ht="15" customHeight="1">
      <c r="A78" t="str">
        <f>'Лист1'!B41</f>
        <v>Сергеев А.А.</v>
      </c>
    </row>
    <row r="79">
      <c r="A79" t="str">
        <v>(фамилия, инициалы, подпись)</v>
      </c>
    </row>
    <row r="80" ht="30" customHeight="1">
      <c r="A80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лицами):</v>
      </c>
    </row>
    <row r="81" ht="15" customHeight="1">
      <c r="A81" t="str">
        <f>'Лист1'!B43</f>
        <v>Картавченко А.Л.</v>
      </c>
    </row>
    <row r="82">
      <c r="A82" t="str">
        <v>(фамилия, инициалы, подпись)</v>
      </c>
    </row>
    <row r="83">
      <c r="A83" t="str">
        <v>Представители иных лиц технического заказчика:</v>
      </c>
    </row>
    <row r="84" ht="15" customHeight="1">
      <c r="A84" t="str">
        <f>'Лист1'!B45</f>
        <v>Рящиков М.Ю.</v>
      </c>
    </row>
    <row r="85">
      <c r="A85" t="str">
        <v>(фамилия, инициалы, подпись)</v>
      </c>
    </row>
  </sheetData>
  <mergeCells count="58">
    <mergeCell ref="A19:M19"/>
    <mergeCell ref="A2:M2"/>
    <mergeCell ref="A5:M5"/>
    <mergeCell ref="A6:M6"/>
    <mergeCell ref="A8:M8"/>
    <mergeCell ref="A9:M9"/>
    <mergeCell ref="A11:M11"/>
    <mergeCell ref="D61:E61"/>
    <mergeCell ref="A60:M60"/>
    <mergeCell ref="A38:M38"/>
    <mergeCell ref="A42:M42"/>
    <mergeCell ref="A12:M12"/>
    <mergeCell ref="A14:M14"/>
    <mergeCell ref="A16:M16"/>
    <mergeCell ref="L17:M17"/>
    <mergeCell ref="A20:M20"/>
    <mergeCell ref="A15:M15"/>
    <mergeCell ref="A66:B66"/>
    <mergeCell ref="A70:M70"/>
    <mergeCell ref="A74:M74"/>
    <mergeCell ref="A77:M77"/>
    <mergeCell ref="A80:M80"/>
    <mergeCell ref="A43:M43"/>
    <mergeCell ref="A46:M46"/>
    <mergeCell ref="A45:M45"/>
    <mergeCell ref="A52:M52"/>
    <mergeCell ref="A57:M57"/>
    <mergeCell ref="A49:M49"/>
    <mergeCell ref="A51:M51"/>
    <mergeCell ref="B53:C53"/>
    <mergeCell ref="B54:C54"/>
    <mergeCell ref="A56:M56"/>
    <mergeCell ref="A59:M59"/>
    <mergeCell ref="D53:E53"/>
    <mergeCell ref="D54:E54"/>
    <mergeCell ref="A35:M35"/>
    <mergeCell ref="A28:M28"/>
    <mergeCell ref="A29:M29"/>
    <mergeCell ref="A30:M30"/>
    <mergeCell ref="A39:M39"/>
    <mergeCell ref="A48:M48"/>
    <mergeCell ref="A31:M31"/>
    <mergeCell ref="A33:M33"/>
    <mergeCell ref="A36:M36"/>
    <mergeCell ref="A32:M32"/>
    <mergeCell ref="A21:M21"/>
    <mergeCell ref="A23:M23"/>
    <mergeCell ref="A24:M24"/>
    <mergeCell ref="A25:M25"/>
    <mergeCell ref="A26:M26"/>
    <mergeCell ref="A27:M27"/>
    <mergeCell ref="A85:M85"/>
    <mergeCell ref="A68:M68"/>
    <mergeCell ref="A71:M71"/>
    <mergeCell ref="A73:M73"/>
    <mergeCell ref="A76:M76"/>
    <mergeCell ref="A79:M79"/>
    <mergeCell ref="A82:M82"/>
  </mergeCells>
  <pageMargins left="0.23622047244094488" right="0.23622047244094488" top="0.7480314960629921" bottom="0.7480314960629921" header="0.31496062992125984" footer="0.31496062992125984"/>
  <ignoredErrors>
    <ignoredError numberStoredAsText="1" sqref="A1:M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85"/>
  <sheetViews>
    <sheetView workbookViewId="0" rightToLeft="0"/>
  </sheetViews>
  <cols>
    <col min="1" max="1" customWidth="1" width="9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</cols>
  <sheetData>
    <row r="1">
      <c r="A1" t="str">
        <v>Объект капитального строительства:</v>
      </c>
    </row>
    <row r="2" ht="50.1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CONCATENATE('Лист1'!A7,'Лист1'!A8)</f>
        <v>ООО «СМК»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CONCATENATE('Лист1'!A10,'Лист1'!A11)</f>
        <v xml:space="preserve">ООО «СМК»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2.75" customHeight="1">
      <c r="A14" t="str">
        <v>АКТ</v>
      </c>
    </row>
    <row r="15">
      <c r="A15" t="str">
        <v>освидетельствования скрытых работ</v>
      </c>
    </row>
    <row r="16">
      <c r="A16" t="str">
        <v>(приёмка расширенной скважины и готовности её к протягиванию)</v>
      </c>
    </row>
    <row r="17">
      <c r="A17" t="str">
        <f>'Лист1'!B76</f>
        <v>№1/4</v>
      </c>
      <c r="L17" s="1">
        <f>'Лист1'!E76</f>
        <v>45960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CONCATENATE('Лист1'!A14,'Лист1'!A15)</f>
        <v>Заместитель начальника УКС ЮВО МКС филиал ПАО «РОССЕТИ МОСКОВСКИЙ РЕГИОН» Гусев П.А.ИНРС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Представитель лица, осуществляющего строительство, реконструкцию, капитальный ремонт: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 xml:space="preserve">Представитель лица, осуществляющего строительство, реконструкцию, капитальный ремонт по вопросам строительного  контроля: 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39.95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 (в случае осуществления авторского надзора лицом, не являющимся разработчиком проектной документации), полное и (или) сокращенное наименование, ОГРН, ИНН саморегулируемой организации, членом которой является указанное юридическое лицо,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v>
      </c>
    </row>
    <row r="31" ht="30" customHeight="1">
      <c r="A31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v>
      </c>
    </row>
    <row r="32" ht="45" customHeight="1">
      <c r="A32" t="str">
        <f>CONCATENATE('Лист1'!A26,'Лист1'!A27,'Лист1'!A29)</f>
        <v>Главный инженер ООО «СКМ-ГРУПП» Картавченко А.Л.,Приказ №25-11-03-1 от 03.11.2023 г.ОГРН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4.95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(должность, фамилия, инициалы, реквизиты документа о представительстве)</v>
      </c>
    </row>
    <row r="37" ht="15" customHeight="1">
      <c r="A37" t="str">
        <v xml:space="preserve">произвели осмотр работ, выполненных: </v>
      </c>
    </row>
    <row r="38" ht="15" customHeight="1">
      <c r="A38" t="str">
        <f>'Лист1'!C69</f>
        <v xml:space="preserve"> ООО «СКМ-ГРУПП»</v>
      </c>
    </row>
    <row r="39">
      <c r="A39" t="str">
        <v>(наименование лица, осуществляющего строительство, выполнившего работы)</v>
      </c>
    </row>
    <row r="40">
      <c r="A40" t="str">
        <v>и составили настоящий акт о нижеследующем:</v>
      </c>
    </row>
    <row r="41" ht="15.75" customHeight="1">
      <c r="A41" t="str">
        <v xml:space="preserve">1. К освидетельствованию представлены следующие работы:: </v>
      </c>
    </row>
    <row r="42" ht="30" customHeight="1">
      <c r="A42" t="str">
        <f>CONCATENATE("Поэтапное расширение скважины закрытого перехода ",,'Лист1'!C49," L= ",,'Лист1'!C53," до d= ",,'Лист1'!C60," методом ГНБ по адресу:  ",,'Лист1'!C48,"")</f>
        <v>Поэтапное расширение скважины закрытого перехода №1  L= 63,64 до d= 500 методом ГНБ по адресу:  г. Москва, Салтыковская ул. д.5А</v>
      </c>
    </row>
    <row r="43">
      <c r="A43" t="str">
        <v>(наименование скрытых работ)</v>
      </c>
    </row>
    <row r="44">
      <c r="A44" t="str">
        <v>2. Работы выполнены в соответствии с:</v>
      </c>
    </row>
    <row r="45" ht="60" customHeight="1">
      <c r="A45" t="str">
        <f>CONCATENATE("Проектом:"," ",'Лист1'!C67," шифр:"," ", 'Лист1'!C68," Тиутул:"," ",'Лист1'!A2,)</f>
        <v xml:space="preserve">Проектом: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6">
      <c r="A46" t="str">
        <v>(номер, другие реквизиты чертежа, наименование проектной или рабочей документации, сведения о лицах, осуществляющих подготовку, раздела проектной и/или рабочей документации)</v>
      </c>
    </row>
    <row r="47">
      <c r="A47" t="str">
        <v>3. При выполнении работ применены:</v>
      </c>
    </row>
    <row r="48" ht="45" customHeight="1">
      <c r="A48" t="str">
        <f>CONCATENATE(,"1.",'Лист1'!C63,";2.",'Лист1'!C64,)</f>
        <v>1.Глинопорошок бентонитовый для горизонтального бурения "Bentopro standart", сертификат соответствия: RU.32468.04ЛЕГО.010.3869;2.Ингибитор глины «BentoPro PHPA»</v>
      </c>
    </row>
    <row r="49">
      <c r="A49" t="str">
        <v>(наименование строительных материалов(изделий) со ссылкой на сертификаты или другие документы, подтверждающие качество)</v>
      </c>
    </row>
    <row r="50">
      <c r="A50" t="str">
        <v>4.    Предъявлены документы, подтверждающие соответствие работ предъявляемым к ним требованиям:</v>
      </c>
    </row>
    <row r="51" ht="30" customHeight="1">
      <c r="A51" t="str">
        <f>CONCATENATE("1. Протокол бурения скважины закрытого перехода "," ",'Лист1'!C49," 2. Исполнительный чертеж закрытого перехода"," ", 'Лист1'!C49," 3. Журнал контроля параметров бурового раствора 4. Журнал производства буровых работ", )</f>
        <v>1. Протокол бурения скважины закрытого перехода  №1  2. Исполнительный чертеж закрытого перехода №1  3. Журнал контроля параметров бурового раствора 4. Журнал производства буровых работ</v>
      </c>
    </row>
    <row r="52">
      <c r="A52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3">
      <c r="A53" t="str">
        <v xml:space="preserve">5. Даты: </v>
      </c>
      <c r="B53" t="str">
        <v>начало работ:</v>
      </c>
      <c r="D53" s="1">
        <f>'Лист1'!C76</f>
        <v>45958</v>
      </c>
    </row>
    <row r="54">
      <c r="B54" t="str">
        <v>окончание работ:</v>
      </c>
      <c r="D54" s="1">
        <f>'Лист1'!E76</f>
        <v>45960</v>
      </c>
    </row>
    <row r="55">
      <c r="A55" t="str">
        <v xml:space="preserve">6. Работы выполнены в соответствии с: </v>
      </c>
    </row>
    <row r="56" ht="45" customHeight="1">
      <c r="A56" t="str">
        <f>CONCATENATE("Проектом:"," ",'Лист1'!C67," шифр:"," ", 'Лист1'!C68,"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бурением",)</f>
        <v>Проектом: ООО «СМК»  шифр: 345716/ПС-25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</v>
      </c>
    </row>
    <row r="57">
      <c r="A57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8">
      <c r="A58" t="str">
        <v xml:space="preserve">7. Разрешается производство последующих работ по: </v>
      </c>
    </row>
    <row r="59" ht="15" customHeight="1">
      <c r="A59" t="str">
        <f>CONCATENATE("Протягивание трубопровода "," в скважину закрытого перехода ",,'Лист1'!C49," ")</f>
        <v xml:space="preserve">Протягивание трубопровода  в скважину закрытого перехода №1  </v>
      </c>
    </row>
    <row r="60">
      <c r="A60" t="str">
        <v>(наименование работ, конструкций, участков сетей инженерно-технического обеспечения)</v>
      </c>
    </row>
    <row r="61">
      <c r="A61" t="str">
        <v xml:space="preserve">Дополнительные сведения: </v>
      </c>
      <c r="D61" t="str">
        <v>отсутствуют</v>
      </c>
    </row>
    <row r="62">
      <c r="A62" t="str">
        <f>CONCATENATE("Акт составлен в"," ",'Лист1'!K72," экземплярах",)</f>
        <v>Акт составлен в 2 экземплярах</v>
      </c>
    </row>
    <row r="63"/>
    <row r="64">
      <c r="A64" t="str">
        <v xml:space="preserve">Приложения: </v>
      </c>
    </row>
    <row r="65">
      <c r="A65" t="str">
        <v>1. В соответствии с п.3 и п.4</v>
      </c>
    </row>
    <row r="66"/>
    <row r="67"/>
    <row r="68" ht="30" customHeight="1">
      <c r="A68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9" ht="15" customHeight="1">
      <c r="A69" t="str">
        <f>'Лист1'!B35</f>
        <v>Гусев П.А.</v>
      </c>
    </row>
    <row r="70">
      <c r="A70" t="str">
        <v>(фамилия, инициалы, подпись)</v>
      </c>
    </row>
    <row r="71" ht="15" customHeight="1">
      <c r="A71" t="str">
        <v>Представитель лица, осуществляющего строительство, реконструкцию, капитальный ремонт:</v>
      </c>
    </row>
    <row r="72" ht="15" customHeight="1">
      <c r="A72" t="str">
        <f>'Лист1'!B39</f>
        <v>Тишков В.А.</v>
      </c>
    </row>
    <row r="73">
      <c r="A73" t="str">
        <v>(фамилия, инициалы, подпись)</v>
      </c>
    </row>
    <row r="74" ht="15" customHeight="1">
      <c r="A74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75" ht="15" customHeight="1">
      <c r="A75" t="str">
        <f>'Лист1'!B37</f>
        <v>Прошин Н.Н.</v>
      </c>
    </row>
    <row r="76">
      <c r="A76" t="str">
        <v>(фамилия, инициалы, подпись)</v>
      </c>
    </row>
    <row r="77" ht="45" customHeight="1">
      <c r="A77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8" ht="15" customHeight="1">
      <c r="A78" t="str">
        <f>'Лист1'!B41</f>
        <v>Сергеев А.А.</v>
      </c>
    </row>
    <row r="79">
      <c r="A79" t="str">
        <v>(фамилия, инициалы, подпись)</v>
      </c>
    </row>
    <row r="80" ht="30" customHeight="1">
      <c r="A80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лицами):</v>
      </c>
    </row>
    <row r="81" ht="15" customHeight="1">
      <c r="A81" t="str">
        <f>'Лист1'!B43</f>
        <v>Картавченко А.Л.</v>
      </c>
    </row>
    <row r="82">
      <c r="A82" t="str">
        <v>(фамилия, инициалы, подпись)</v>
      </c>
    </row>
    <row r="83">
      <c r="A83" t="str">
        <v>Представители иных лиц технического заказчика:</v>
      </c>
    </row>
    <row r="84" ht="15" customHeight="1">
      <c r="A84" t="str">
        <f>'Лист1'!B45</f>
        <v>Рящиков М.Ю.</v>
      </c>
    </row>
    <row r="85">
      <c r="A85" t="str">
        <v>(фамилия, инициалы, подпись)</v>
      </c>
    </row>
  </sheetData>
  <mergeCells count="58">
    <mergeCell ref="A74:M74"/>
    <mergeCell ref="B54:C54"/>
    <mergeCell ref="A56:M56"/>
    <mergeCell ref="A57:M57"/>
    <mergeCell ref="A77:M77"/>
    <mergeCell ref="A80:M80"/>
    <mergeCell ref="A59:M59"/>
    <mergeCell ref="A60:M60"/>
    <mergeCell ref="D61:E61"/>
    <mergeCell ref="A66:B66"/>
    <mergeCell ref="A70:M70"/>
    <mergeCell ref="A46:M46"/>
    <mergeCell ref="A48:M48"/>
    <mergeCell ref="A49:M49"/>
    <mergeCell ref="A51:M51"/>
    <mergeCell ref="A52:M52"/>
    <mergeCell ref="B53:C53"/>
    <mergeCell ref="D53:E53"/>
    <mergeCell ref="D54:E54"/>
    <mergeCell ref="A36:M36"/>
    <mergeCell ref="A38:M38"/>
    <mergeCell ref="A39:M39"/>
    <mergeCell ref="A42:M42"/>
    <mergeCell ref="A43:M43"/>
    <mergeCell ref="A45:M45"/>
    <mergeCell ref="A23:M23"/>
    <mergeCell ref="A24:M24"/>
    <mergeCell ref="A27:M27"/>
    <mergeCell ref="A28:M28"/>
    <mergeCell ref="A30:M30"/>
    <mergeCell ref="A31:M31"/>
    <mergeCell ref="A25:M25"/>
    <mergeCell ref="A26:M26"/>
    <mergeCell ref="A29:M29"/>
    <mergeCell ref="A12:M12"/>
    <mergeCell ref="A14:M14"/>
    <mergeCell ref="A15:M15"/>
    <mergeCell ref="L17:M17"/>
    <mergeCell ref="A20:M20"/>
    <mergeCell ref="A21:M21"/>
    <mergeCell ref="A16:M16"/>
    <mergeCell ref="A19:M19"/>
    <mergeCell ref="A2:M2"/>
    <mergeCell ref="A5:M5"/>
    <mergeCell ref="A6:M6"/>
    <mergeCell ref="A8:M8"/>
    <mergeCell ref="A9:M9"/>
    <mergeCell ref="A11:M11"/>
    <mergeCell ref="A79:M79"/>
    <mergeCell ref="A82:M82"/>
    <mergeCell ref="A85:M85"/>
    <mergeCell ref="A32:M32"/>
    <mergeCell ref="A35:M35"/>
    <mergeCell ref="A68:M68"/>
    <mergeCell ref="A71:M71"/>
    <mergeCell ref="A73:M73"/>
    <mergeCell ref="A76:M76"/>
    <mergeCell ref="A33:M33"/>
  </mergeCells>
  <pageMargins left="0.23622047244094488" right="0.23622047244094488" top="0.7480314960629921" bottom="0.7480314960629921" header="0.31496062992125984" footer="0.31496062992125984"/>
  <ignoredErrors>
    <ignoredError numberStoredAsText="1" sqref="A1:M8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85"/>
  <sheetViews>
    <sheetView workbookViewId="0" rightToLeft="0"/>
  </sheetViews>
  <cols>
    <col min="1" max="1" customWidth="1" width="9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</cols>
  <sheetData>
    <row r="1">
      <c r="A1" t="str">
        <v>Объект капитального строительства:</v>
      </c>
    </row>
    <row r="2" ht="50.1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CONCATENATE('Лист1'!A7,'Лист1'!A8)</f>
        <v>ООО «СМК»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CONCATENATE('Лист1'!A10,'Лист1'!A11)</f>
        <v xml:space="preserve">ООО «СМК»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2.75" customHeight="1">
      <c r="A14" t="str">
        <v>АКТ</v>
      </c>
    </row>
    <row r="15">
      <c r="A15" t="str">
        <v>освидетельствования скрытых работ</v>
      </c>
    </row>
    <row r="16">
      <c r="A16" t="str">
        <v>(протягивание плетей трубопровода в скважину закрытого перехода)</v>
      </c>
    </row>
    <row r="17">
      <c r="A17" t="str">
        <f>'Лист1'!B77</f>
        <v>№1/5</v>
      </c>
      <c r="L17" s="1">
        <f>'Лист1'!E77</f>
        <v>45960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CONCATENATE('Лист1'!A14,'Лист1'!A15)</f>
        <v>Заместитель начальника УКС ЮВО МКС филиал ПАО «РОССЕТИ МОСКОВСКИЙ РЕГИОН» Гусев П.А.ИНРС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Представитель лица, осуществляющего строительство, реконструкцию, капитальный ремонт: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 xml:space="preserve">Представитель лица, осуществляющего строительство, реконструкцию, капитальный ремонт по вопросам строительного  контроля: 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39.95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 (в случае осуществления авторского надзора лицом, не являющимся разработчиком проектной документации), полное и (или) сокращенное наименование, ОГРН, ИНН саморегулируемой организации, членом которой является указанное юридическое лицо,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v>
      </c>
    </row>
    <row r="31" ht="30" customHeight="1">
      <c r="A31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v>
      </c>
    </row>
    <row r="32" ht="45" customHeight="1">
      <c r="A32" t="str">
        <f>CONCATENATE('Лист1'!A26,'Лист1'!A27,'Лист1'!A29)</f>
        <v>Главный инженер ООО «СКМ-ГРУПП» Картавченко А.Л.,Приказ №25-11-03-1 от 03.11.2023 г.ОГРН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4.95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(должность, фамилия, инициалы, реквизиты документа о представительстве)</v>
      </c>
    </row>
    <row r="37" ht="15.75" customHeight="1">
      <c r="A37" t="str">
        <v xml:space="preserve">произвели осмотр работ, выполненных: </v>
      </c>
    </row>
    <row r="38" ht="15" customHeight="1">
      <c r="A38" t="str">
        <f>'Лист1'!C69</f>
        <v xml:space="preserve"> ООО «СКМ-ГРУПП»</v>
      </c>
    </row>
    <row r="39">
      <c r="A39" t="str">
        <v>(наименование лица, осуществляющего строительство, выполнившего работы)</v>
      </c>
    </row>
    <row r="40">
      <c r="A40" t="str">
        <v>и составили настоящий акт о нижеследующем:</v>
      </c>
    </row>
    <row r="41" ht="15.75" customHeight="1">
      <c r="A41" t="str">
        <v xml:space="preserve">1. К освидетельствованию представлены следующие работы:: </v>
      </c>
    </row>
    <row r="42" ht="30" customHeight="1">
      <c r="A42" t="str">
        <f>CONCATENATE("Протягивание  трубопровода состоящего из труб ",'Лист1'!C56," d=",,'Лист1'!C55," Lтр.= ",,'Лист1'!C57," в расширенную скважину закрытого перехода  ",,'Лист1'!C49," методом ГНБ по адресу: ",,'Лист1'!C48,"")</f>
        <v>Протягивание  трубопровода состоящего из труб 3(трёх) труб (ЭЛЕКТРОПАЙП ОС РС 160х8.9 SN16-N F90 T120) d=160 Lтр.= 190,92 в расширенную скважину закрытого перехода  №1  методом ГНБ по адресу: г. Москва, Салтыковская ул. д.5А</v>
      </c>
      <c r="N42" t="str">
        <v>ТРУБА</v>
      </c>
    </row>
    <row r="43">
      <c r="A43" t="str">
        <v>(наименование скрытых работ)</v>
      </c>
    </row>
    <row r="44">
      <c r="A44" t="str">
        <v>2. Работы выполнены в соответствии с:</v>
      </c>
    </row>
    <row r="45" ht="60" customHeight="1">
      <c r="A45" t="str">
        <f>CONCATENATE("Проектом:"," ",'Лист1'!C67," шифр:"," ", 'Лист1'!C68," Тиутул:"," ",'Лист1'!A2,)</f>
        <v xml:space="preserve">Проектом: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6">
      <c r="A46" t="str">
        <v>(номер, другие реквизиты чертежа, наименование проектной или рабочей документации, сведения о лицах, осуществляющих подготовку, раздела проектной и/или рабочей документации)</v>
      </c>
    </row>
    <row r="47">
      <c r="A47" t="str">
        <v>3. При выполнении работ применены:</v>
      </c>
    </row>
    <row r="48" ht="30" customHeight="1">
      <c r="A48" t="str">
        <f>CONCATENATE("1. Трубы"," ",'Лист1'!C61," ;",'Лист1'!C62,)</f>
        <v xml:space="preserve">1. Трубы ЭЛЕКТРОПАЙП ОС РС 160х8.9 SN16-N F90 T120 ;Паспорт качества №12514 от 09.10.2025г; Сертификат соответствия №РОСС RU.HB24.АПТС H00165/24 до 20.02.2029г.  </v>
      </c>
      <c r="N48" t="str">
        <v>ТРУБА</v>
      </c>
    </row>
    <row r="49">
      <c r="A49" t="str">
        <v>(наименование строительных материалов(изделий) со ссылкой на сертификаты или другие документы, подтверждающие качество)</v>
      </c>
    </row>
    <row r="50" ht="15" customHeight="1">
      <c r="A50" t="str">
        <v>4.    Предъявлены документы, подтверждающие соответствие работ предъявляемым к ним требованиям:</v>
      </c>
    </row>
    <row r="51" ht="15" customHeight="1">
      <c r="A51" t="str">
        <f>CONCATENATE("1. Протокол бурения скважины закрытого перехода "," ",'Лист1'!C49," 2. Исполнительный чертеж закрытого перехода"," ", 'Лист1'!C49,)</f>
        <v xml:space="preserve">1. Протокол бурения скважины закрытого перехода  №1  2. Исполнительный чертеж закрытого перехода №1 </v>
      </c>
    </row>
    <row r="52" ht="13.5" customHeight="1">
      <c r="A52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3" ht="15" customHeight="1">
      <c r="A53" t="str">
        <v xml:space="preserve">5. Даты: </v>
      </c>
      <c r="B53" t="str">
        <v>начало работ:</v>
      </c>
      <c r="D53" s="1">
        <f>'Лист1'!C78</f>
        <v>45961</v>
      </c>
    </row>
    <row r="54" ht="15" customHeight="1">
      <c r="B54" t="str">
        <v>окончание работ:</v>
      </c>
      <c r="D54" s="1">
        <f>'Лист1'!E78</f>
        <v>45961</v>
      </c>
    </row>
    <row r="55">
      <c r="A55" t="str">
        <v xml:space="preserve">6. Работы выполнены в соответствии с: </v>
      </c>
    </row>
    <row r="56" ht="45" customHeight="1">
      <c r="A56" t="str">
        <f>CONCATENATE("Проектом:"," ",'Лист1'!C67," шифр:"," ", 'Лист1'!C68,"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бурением",)</f>
        <v>Проектом: ООО «СМК»  шифр: 345716/ПС-25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</v>
      </c>
    </row>
    <row r="57">
      <c r="A57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8">
      <c r="A58" t="str">
        <v xml:space="preserve">7. Разрешается производство последующих работ по: </v>
      </c>
    </row>
    <row r="59" ht="15" customHeight="1">
      <c r="A59" t="str">
        <f>CONCATENATE("Проверка соосности и проходимости труб закрытого перехода ",,'Лист1'!C49," ")</f>
        <v xml:space="preserve">Проверка соосности и проходимости труб закрытого перехода №1  </v>
      </c>
    </row>
    <row r="60">
      <c r="A60" t="str">
        <v>(наименование работ, конструкций, участков сетей инженерно-технического обеспечения)</v>
      </c>
    </row>
    <row r="61">
      <c r="A61" t="str">
        <v xml:space="preserve">Дополнительные сведения: </v>
      </c>
      <c r="D61" t="str">
        <v>отсутствуют</v>
      </c>
    </row>
    <row r="62">
      <c r="A62" t="str">
        <f>CONCATENATE("Акт составлен в"," ",'Лист1'!K72," экземплярах",)</f>
        <v>Акт составлен в 2 экземплярах</v>
      </c>
    </row>
    <row r="63"/>
    <row r="64">
      <c r="A64" t="str">
        <v xml:space="preserve">Приложения: </v>
      </c>
    </row>
    <row r="65">
      <c r="A65" t="str">
        <v>1. В соответствии с п.3 и п.4</v>
      </c>
    </row>
    <row r="66">
      <c r="A66">
        <v>2</v>
      </c>
    </row>
    <row r="67"/>
    <row r="68" ht="30" customHeight="1">
      <c r="A68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9" ht="15" customHeight="1">
      <c r="A69" t="str">
        <f>'Лист1'!B35</f>
        <v>Гусев П.А.</v>
      </c>
    </row>
    <row r="70">
      <c r="A70" t="str">
        <v>(фамилия, инициалы, подпись)</v>
      </c>
    </row>
    <row r="71" ht="15" customHeight="1">
      <c r="A71" t="str">
        <v>Представитель лица, осуществляющего строительство, реконструкцию, капитальный ремонт:</v>
      </c>
    </row>
    <row r="72" ht="15" customHeight="1">
      <c r="A72" t="str">
        <f>'Лист1'!B39</f>
        <v>Тишков В.А.</v>
      </c>
    </row>
    <row r="73">
      <c r="A73" t="str">
        <v>(фамилия, инициалы, подпись)</v>
      </c>
    </row>
    <row r="74" ht="15" customHeight="1">
      <c r="A74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75" ht="15" customHeight="1">
      <c r="A75" t="str">
        <f>'Лист1'!B37</f>
        <v>Прошин Н.Н.</v>
      </c>
    </row>
    <row r="76">
      <c r="A76" t="str">
        <v>(фамилия, инициалы, подпись)</v>
      </c>
    </row>
    <row r="77" ht="45" customHeight="1">
      <c r="A77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8" ht="15" customHeight="1">
      <c r="A78" t="str">
        <f>'Лист1'!B41</f>
        <v>Сергеев А.А.</v>
      </c>
    </row>
    <row r="79">
      <c r="A79" t="str">
        <v>(фамилия, инициалы, подпись)</v>
      </c>
    </row>
    <row r="80" ht="30" customHeight="1">
      <c r="A80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лицами):</v>
      </c>
    </row>
    <row r="81" ht="15" customHeight="1">
      <c r="A81" t="str">
        <f>'Лист1'!B43</f>
        <v>Картавченко А.Л.</v>
      </c>
    </row>
    <row r="82">
      <c r="A82" t="str">
        <v>(фамилия, инициалы, подпись)</v>
      </c>
    </row>
    <row r="83">
      <c r="A83" t="str">
        <v>Представители иных лиц технического заказчика:</v>
      </c>
    </row>
    <row r="84" ht="15" customHeight="1">
      <c r="A84" t="str">
        <f>'Лист1'!B45</f>
        <v>Рящиков М.Ю.</v>
      </c>
    </row>
    <row r="85">
      <c r="A85" t="str">
        <v>(фамилия, инициалы, подпись)</v>
      </c>
    </row>
  </sheetData>
  <mergeCells count="58">
    <mergeCell ref="A82:M82"/>
    <mergeCell ref="A85:M85"/>
    <mergeCell ref="A73:M73"/>
    <mergeCell ref="A74:M74"/>
    <mergeCell ref="A76:M76"/>
    <mergeCell ref="A77:M77"/>
    <mergeCell ref="A79:M79"/>
    <mergeCell ref="A80:M80"/>
    <mergeCell ref="A60:M60"/>
    <mergeCell ref="D61:E61"/>
    <mergeCell ref="A66:B66"/>
    <mergeCell ref="A68:M68"/>
    <mergeCell ref="A70:M70"/>
    <mergeCell ref="A71:M71"/>
    <mergeCell ref="A52:M52"/>
    <mergeCell ref="B53:C53"/>
    <mergeCell ref="B54:C54"/>
    <mergeCell ref="A56:M56"/>
    <mergeCell ref="A57:M57"/>
    <mergeCell ref="A59:M59"/>
    <mergeCell ref="D53:E53"/>
    <mergeCell ref="D54:E54"/>
    <mergeCell ref="A43:M43"/>
    <mergeCell ref="A45:M45"/>
    <mergeCell ref="A46:M46"/>
    <mergeCell ref="A48:M48"/>
    <mergeCell ref="A49:M49"/>
    <mergeCell ref="A51:M51"/>
    <mergeCell ref="A33:M33"/>
    <mergeCell ref="A35:M35"/>
    <mergeCell ref="A36:M36"/>
    <mergeCell ref="A38:M38"/>
    <mergeCell ref="A39:M39"/>
    <mergeCell ref="A42:M42"/>
    <mergeCell ref="A27:M27"/>
    <mergeCell ref="A28:M28"/>
    <mergeCell ref="A29:M29"/>
    <mergeCell ref="A30:M30"/>
    <mergeCell ref="A31:M31"/>
    <mergeCell ref="A32:M32"/>
    <mergeCell ref="A20:M20"/>
    <mergeCell ref="A21:M21"/>
    <mergeCell ref="A23:M23"/>
    <mergeCell ref="A24:M24"/>
    <mergeCell ref="A25:M25"/>
    <mergeCell ref="A26:M26"/>
    <mergeCell ref="A12:M12"/>
    <mergeCell ref="A14:M14"/>
    <mergeCell ref="A15:M15"/>
    <mergeCell ref="A16:M16"/>
    <mergeCell ref="L17:M17"/>
    <mergeCell ref="A19:M19"/>
    <mergeCell ref="A2:M2"/>
    <mergeCell ref="A5:M5"/>
    <mergeCell ref="A6:M6"/>
    <mergeCell ref="A8:M8"/>
    <mergeCell ref="A9:M9"/>
    <mergeCell ref="A11:M11"/>
  </mergeCells>
  <pageMargins left="0.23622047244094488" right="0.23622047244094488" top="0.7480314960629921" bottom="0.7480314960629921" header="0.31496062992125984" footer="0.31496062992125984"/>
  <ignoredErrors>
    <ignoredError numberStoredAsText="1" sqref="A1:N8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85"/>
  <sheetViews>
    <sheetView workbookViewId="0" rightToLeft="0"/>
  </sheetViews>
  <cols>
    <col min="1" max="1" customWidth="1" width="9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  <col min="14" max="14" customWidth="1" width="9.140625" level="0" outlineLevel="0"/>
    <col min="15" max="15" customWidth="1" width="9.140625" level="0" outlineLevel="0"/>
    <col min="16" max="16" customWidth="1" width="9.140625" level="0" outlineLevel="0"/>
    <col min="17" max="17" customWidth="1" width="9.140625" level="0" outlineLevel="0"/>
    <col min="18" max="18" customWidth="1" width="9.140625" level="0" outlineLevel="0"/>
    <col min="19" max="19" customWidth="1" width="9.140625" level="0" outlineLevel="0"/>
    <col min="20" max="20" customWidth="1" width="9.140625" level="0" outlineLevel="0"/>
    <col min="21" max="21" customWidth="1" width="9.140625" level="0" outlineLevel="0"/>
    <col min="22" max="22" customWidth="1" width="9.140625" level="0" outlineLevel="0"/>
    <col min="23" max="23" customWidth="1" width="9.140625" level="0" outlineLevel="0"/>
    <col min="24" max="24" customWidth="1" width="9.140625" level="0" outlineLevel="0"/>
    <col min="25" max="25" customWidth="1" width="9.140625" level="0" outlineLevel="0"/>
    <col min="26" max="26" customWidth="1" width="9.140625" level="0" outlineLevel="0"/>
    <col min="27" max="27" customWidth="1" width="9.140625" level="0" outlineLevel="0"/>
    <col min="28" max="28" customWidth="1" width="9.140625" level="0" outlineLevel="0"/>
    <col min="29" max="29" customWidth="1" width="9.140625" level="0" outlineLevel="0"/>
    <col min="30" max="30" customWidth="1" width="9.140625" level="0" outlineLevel="0"/>
    <col min="31" max="31" customWidth="1" width="9.140625" level="0" outlineLevel="0"/>
    <col min="32" max="32" customWidth="1" width="9.140625" level="0" outlineLevel="0"/>
    <col min="33" max="33" customWidth="1" width="9.140625" level="0" outlineLevel="0"/>
    <col min="34" max="34" customWidth="1" width="9.140625" level="0" outlineLevel="0"/>
    <col min="35" max="35" customWidth="1" width="9.140625" level="0" outlineLevel="0"/>
    <col min="36" max="36" customWidth="1" width="9.140625" level="0" outlineLevel="0"/>
    <col min="37" max="37" customWidth="1" width="9.140625" level="0" outlineLevel="0"/>
    <col min="38" max="38" customWidth="1" width="9.140625" level="0" outlineLevel="0"/>
    <col min="39" max="39" customWidth="1" width="9.140625" level="0" outlineLevel="0"/>
    <col min="40" max="40" customWidth="1" width="9.140625" level="0" outlineLevel="0"/>
    <col min="41" max="41" customWidth="1" width="9.140625" level="0" outlineLevel="0"/>
    <col min="42" max="42" customWidth="1" width="9.140625" level="0" outlineLevel="0"/>
    <col min="43" max="43" customWidth="1" width="9.140625" level="0" outlineLevel="0"/>
    <col min="44" max="44" customWidth="1" width="9.140625" level="0" outlineLevel="0"/>
    <col min="45" max="45" customWidth="1" width="9.140625" level="0" outlineLevel="0"/>
    <col min="46" max="46" customWidth="1" width="9.140625" level="0" outlineLevel="0"/>
    <col min="47" max="47" customWidth="1" width="9.140625" level="0" outlineLevel="0"/>
    <col min="48" max="48" customWidth="1" width="9.140625" level="0" outlineLevel="0"/>
    <col min="49" max="49" customWidth="1" width="9.140625" level="0" outlineLevel="0"/>
    <col min="50" max="50" customWidth="1" width="9.140625" level="0" outlineLevel="0"/>
    <col min="51" max="51" customWidth="1" width="9.140625" level="0" outlineLevel="0"/>
    <col min="52" max="52" customWidth="1" width="9.140625" level="0" outlineLevel="0"/>
    <col min="53" max="53" customWidth="1" width="9.140625" level="0" outlineLevel="0"/>
    <col min="54" max="54" customWidth="1" width="9.140625" level="0" outlineLevel="0"/>
    <col min="55" max="55" customWidth="1" width="9.140625" level="0" outlineLevel="0"/>
    <col min="56" max="56" customWidth="1" width="9.140625" level="0" outlineLevel="0"/>
    <col min="57" max="57" customWidth="1" width="9.140625" level="0" outlineLevel="0"/>
    <col min="58" max="58" customWidth="1" width="9.140625" level="0" outlineLevel="0"/>
    <col min="59" max="59" customWidth="1" width="9.140625" level="0" outlineLevel="0"/>
    <col min="60" max="60" customWidth="1" width="9.140625" level="0" outlineLevel="0"/>
    <col min="61" max="61" customWidth="1" width="9.140625" level="0" outlineLevel="0"/>
    <col min="62" max="62" customWidth="1" width="9.140625" level="0" outlineLevel="0"/>
    <col min="63" max="63" customWidth="1" width="9.140625" level="0" outlineLevel="0"/>
    <col min="64" max="64" customWidth="1" width="9.140625" level="0" outlineLevel="0"/>
    <col min="65" max="65" customWidth="1" width="9.140625" level="0" outlineLevel="0"/>
    <col min="66" max="66" customWidth="1" width="9.140625" level="0" outlineLevel="0"/>
    <col min="67" max="67" customWidth="1" width="9.140625" level="0" outlineLevel="0"/>
    <col min="68" max="68" customWidth="1" width="9.140625" level="0" outlineLevel="0"/>
    <col min="69" max="69" customWidth="1" width="9.140625" level="0" outlineLevel="0"/>
    <col min="70" max="70" customWidth="1" width="9.140625" level="0" outlineLevel="0"/>
    <col min="71" max="71" customWidth="1" width="9.140625" level="0" outlineLevel="0"/>
    <col min="72" max="72" customWidth="1" width="9.140625" level="0" outlineLevel="0"/>
    <col min="73" max="73" customWidth="1" width="9.140625" level="0" outlineLevel="0"/>
    <col min="74" max="74" customWidth="1" width="9.140625" level="0" outlineLevel="0"/>
    <col min="75" max="75" customWidth="1" width="9.140625" level="0" outlineLevel="0"/>
    <col min="76" max="76" customWidth="1" width="9.140625" level="0" outlineLevel="0"/>
    <col min="77" max="77" customWidth="1" width="9.140625" level="0" outlineLevel="0"/>
    <col min="78" max="78" customWidth="1" width="9.140625" level="0" outlineLevel="0"/>
    <col min="79" max="79" customWidth="1" width="9.140625" level="0" outlineLevel="0"/>
    <col min="80" max="80" customWidth="1" width="9.140625" level="0" outlineLevel="0"/>
    <col min="81" max="81" customWidth="1" width="9.140625" level="0" outlineLevel="0"/>
    <col min="82" max="82" customWidth="1" width="9.140625" level="0" outlineLevel="0"/>
    <col min="83" max="83" customWidth="1" width="9.140625" level="0" outlineLevel="0"/>
    <col min="84" max="84" customWidth="1" width="9.140625" level="0" outlineLevel="0"/>
    <col min="85" max="85" customWidth="1" width="9.140625" level="0" outlineLevel="0"/>
    <col min="86" max="86" customWidth="1" width="9.140625" level="0" outlineLevel="0"/>
    <col min="87" max="87" customWidth="1" width="9.140625" level="0" outlineLevel="0"/>
    <col min="88" max="88" customWidth="1" width="9.140625" level="0" outlineLevel="0"/>
    <col min="89" max="89" customWidth="1" width="9.140625" level="0" outlineLevel="0"/>
    <col min="90" max="90" customWidth="1" width="9.140625" level="0" outlineLevel="0"/>
    <col min="91" max="91" customWidth="1" width="9.140625" level="0" outlineLevel="0"/>
    <col min="92" max="92" customWidth="1" width="9.140625" level="0" outlineLevel="0"/>
    <col min="93" max="93" customWidth="1" width="9.140625" level="0" outlineLevel="0"/>
    <col min="94" max="94" customWidth="1" width="9.140625" level="0" outlineLevel="0"/>
    <col min="95" max="95" customWidth="1" width="9.140625" level="0" outlineLevel="0"/>
    <col min="96" max="96" customWidth="1" width="9.140625" level="0" outlineLevel="0"/>
    <col min="97" max="97" customWidth="1" width="9.140625" level="0" outlineLevel="0"/>
    <col min="98" max="98" customWidth="1" width="9.140625" level="0" outlineLevel="0"/>
    <col min="99" max="99" customWidth="1" width="9.140625" level="0" outlineLevel="0"/>
    <col min="100" max="100" customWidth="1" width="9.140625" level="0" outlineLevel="0"/>
    <col min="101" max="101" customWidth="1" width="9.140625" level="0" outlineLevel="0"/>
    <col min="102" max="102" customWidth="1" width="9.140625" level="0" outlineLevel="0"/>
    <col min="103" max="103" customWidth="1" width="9.140625" level="0" outlineLevel="0"/>
    <col min="104" max="104" customWidth="1" width="9.140625" level="0" outlineLevel="0"/>
    <col min="105" max="105" customWidth="1" width="9.140625" level="0" outlineLevel="0"/>
    <col min="106" max="106" customWidth="1" width="9.140625" level="0" outlineLevel="0"/>
    <col min="107" max="107" customWidth="1" width="9.140625" level="0" outlineLevel="0"/>
    <col min="108" max="108" customWidth="1" width="9.140625" level="0" outlineLevel="0"/>
    <col min="109" max="109" customWidth="1" width="9.140625" level="0" outlineLevel="0"/>
    <col min="110" max="110" customWidth="1" width="9.140625" level="0" outlineLevel="0"/>
    <col min="111" max="111" customWidth="1" width="9.140625" level="0" outlineLevel="0"/>
    <col min="112" max="112" customWidth="1" width="9.140625" level="0" outlineLevel="0"/>
    <col min="113" max="113" customWidth="1" width="9.140625" level="0" outlineLevel="0"/>
    <col min="114" max="114" customWidth="1" width="9.140625" level="0" outlineLevel="0"/>
    <col min="115" max="115" customWidth="1" width="9.140625" level="0" outlineLevel="0"/>
    <col min="116" max="116" customWidth="1" width="9.140625" level="0" outlineLevel="0"/>
    <col min="117" max="117" customWidth="1" width="9.140625" level="0" outlineLevel="0"/>
    <col min="118" max="118" customWidth="1" width="9.140625" level="0" outlineLevel="0"/>
    <col min="119" max="119" customWidth="1" width="9.140625" level="0" outlineLevel="0"/>
    <col min="120" max="120" customWidth="1" width="9.140625" level="0" outlineLevel="0"/>
    <col min="121" max="121" customWidth="1" width="9.140625" level="0" outlineLevel="0"/>
    <col min="122" max="122" customWidth="1" width="9.140625" level="0" outlineLevel="0"/>
    <col min="123" max="123" customWidth="1" width="9.140625" level="0" outlineLevel="0"/>
    <col min="124" max="124" customWidth="1" width="9.140625" level="0" outlineLevel="0"/>
    <col min="125" max="125" customWidth="1" width="9.140625" level="0" outlineLevel="0"/>
    <col min="126" max="126" customWidth="1" width="9.140625" level="0" outlineLevel="0"/>
    <col min="127" max="127" customWidth="1" width="9.140625" level="0" outlineLevel="0"/>
    <col min="128" max="128" customWidth="1" width="9.140625" level="0" outlineLevel="0"/>
    <col min="129" max="129" customWidth="1" width="9.140625" level="0" outlineLevel="0"/>
    <col min="130" max="130" customWidth="1" width="9.140625" level="0" outlineLevel="0"/>
    <col min="131" max="131" customWidth="1" width="9.140625" level="0" outlineLevel="0"/>
    <col min="132" max="132" customWidth="1" width="9.140625" level="0" outlineLevel="0"/>
    <col min="133" max="133" customWidth="1" width="9.140625" level="0" outlineLevel="0"/>
    <col min="134" max="134" customWidth="1" width="9.140625" level="0" outlineLevel="0"/>
    <col min="135" max="135" customWidth="1" width="9.140625" level="0" outlineLevel="0"/>
    <col min="136" max="136" customWidth="1" width="9.140625" level="0" outlineLevel="0"/>
    <col min="137" max="137" customWidth="1" width="9.140625" level="0" outlineLevel="0"/>
    <col min="138" max="138" customWidth="1" width="9.140625" level="0" outlineLevel="0"/>
    <col min="139" max="139" customWidth="1" width="9.140625" level="0" outlineLevel="0"/>
    <col min="140" max="140" customWidth="1" width="9.140625" level="0" outlineLevel="0"/>
    <col min="141" max="141" customWidth="1" width="9.140625" level="0" outlineLevel="0"/>
    <col min="142" max="142" customWidth="1" width="9.140625" level="0" outlineLevel="0"/>
    <col min="143" max="143" customWidth="1" width="9.140625" level="0" outlineLevel="0"/>
    <col min="144" max="144" customWidth="1" width="9.140625" level="0" outlineLevel="0"/>
    <col min="145" max="145" customWidth="1" width="9.140625" level="0" outlineLevel="0"/>
    <col min="146" max="146" customWidth="1" width="9.140625" level="0" outlineLevel="0"/>
    <col min="147" max="147" customWidth="1" width="9.140625" level="0" outlineLevel="0"/>
    <col min="148" max="148" customWidth="1" width="9.140625" level="0" outlineLevel="0"/>
    <col min="149" max="149" customWidth="1" width="9.140625" level="0" outlineLevel="0"/>
    <col min="150" max="150" customWidth="1" width="9.140625" level="0" outlineLevel="0"/>
    <col min="151" max="151" customWidth="1" width="9.140625" level="0" outlineLevel="0"/>
    <col min="152" max="152" customWidth="1" width="9.140625" level="0" outlineLevel="0"/>
    <col min="153" max="153" customWidth="1" width="9.140625" level="0" outlineLevel="0"/>
    <col min="154" max="154" customWidth="1" width="9.140625" level="0" outlineLevel="0"/>
    <col min="155" max="155" customWidth="1" width="9.140625" level="0" outlineLevel="0"/>
    <col min="156" max="156" customWidth="1" width="9.140625" level="0" outlineLevel="0"/>
    <col min="157" max="157" customWidth="1" width="9.140625" level="0" outlineLevel="0"/>
    <col min="158" max="158" customWidth="1" width="9.140625" level="0" outlineLevel="0"/>
    <col min="159" max="159" customWidth="1" width="9.140625" level="0" outlineLevel="0"/>
    <col min="160" max="160" customWidth="1" width="9.140625" level="0" outlineLevel="0"/>
    <col min="161" max="161" customWidth="1" width="9.140625" level="0" outlineLevel="0"/>
    <col min="162" max="162" customWidth="1" width="9.140625" level="0" outlineLevel="0"/>
    <col min="163" max="163" customWidth="1" width="9.140625" level="0" outlineLevel="0"/>
    <col min="164" max="164" customWidth="1" width="9.140625" level="0" outlineLevel="0"/>
    <col min="165" max="165" customWidth="1" width="9.140625" level="0" outlineLevel="0"/>
    <col min="166" max="166" customWidth="1" width="9.140625" level="0" outlineLevel="0"/>
    <col min="167" max="167" customWidth="1" width="9.140625" level="0" outlineLevel="0"/>
    <col min="168" max="168" customWidth="1" width="9.140625" level="0" outlineLevel="0"/>
    <col min="169" max="169" customWidth="1" width="9.140625" level="0" outlineLevel="0"/>
    <col min="170" max="170" customWidth="1" width="9.140625" level="0" outlineLevel="0"/>
    <col min="171" max="171" customWidth="1" width="9.140625" level="0" outlineLevel="0"/>
    <col min="172" max="172" customWidth="1" width="9.140625" level="0" outlineLevel="0"/>
    <col min="173" max="173" customWidth="1" width="9.140625" level="0" outlineLevel="0"/>
    <col min="174" max="174" customWidth="1" width="9.140625" level="0" outlineLevel="0"/>
    <col min="175" max="175" customWidth="1" width="9.140625" level="0" outlineLevel="0"/>
    <col min="176" max="176" customWidth="1" width="9.140625" level="0" outlineLevel="0"/>
    <col min="177" max="177" customWidth="1" width="9.140625" level="0" outlineLevel="0"/>
    <col min="178" max="178" customWidth="1" width="9.140625" level="0" outlineLevel="0"/>
    <col min="179" max="179" customWidth="1" width="9.140625" level="0" outlineLevel="0"/>
    <col min="180" max="180" customWidth="1" width="9.140625" level="0" outlineLevel="0"/>
    <col min="181" max="181" customWidth="1" width="9.140625" level="0" outlineLevel="0"/>
    <col min="182" max="182" customWidth="1" width="9.140625" level="0" outlineLevel="0"/>
    <col min="183" max="183" customWidth="1" width="9.140625" level="0" outlineLevel="0"/>
    <col min="184" max="184" customWidth="1" width="9.140625" level="0" outlineLevel="0"/>
    <col min="185" max="185" customWidth="1" width="9.140625" level="0" outlineLevel="0"/>
    <col min="186" max="186" customWidth="1" width="9.140625" level="0" outlineLevel="0"/>
    <col min="187" max="187" customWidth="1" width="9.140625" level="0" outlineLevel="0"/>
    <col min="188" max="188" customWidth="1" width="9.140625" level="0" outlineLevel="0"/>
    <col min="189" max="189" customWidth="1" width="9.140625" level="0" outlineLevel="0"/>
    <col min="190" max="190" customWidth="1" width="9.140625" level="0" outlineLevel="0"/>
    <col min="191" max="191" customWidth="1" width="9.140625" level="0" outlineLevel="0"/>
    <col min="192" max="192" customWidth="1" width="9.140625" level="0" outlineLevel="0"/>
    <col min="193" max="193" customWidth="1" width="9.140625" level="0" outlineLevel="0"/>
    <col min="194" max="194" customWidth="1" width="9.140625" level="0" outlineLevel="0"/>
    <col min="195" max="195" customWidth="1" width="9.140625" level="0" outlineLevel="0"/>
    <col min="196" max="196" customWidth="1" width="9.140625" level="0" outlineLevel="0"/>
    <col min="197" max="197" customWidth="1" width="9.140625" level="0" outlineLevel="0"/>
    <col min="198" max="198" customWidth="1" width="9.140625" level="0" outlineLevel="0"/>
    <col min="199" max="199" customWidth="1" width="9.140625" level="0" outlineLevel="0"/>
    <col min="200" max="200" customWidth="1" width="9.140625" level="0" outlineLevel="0"/>
    <col min="201" max="201" customWidth="1" width="9.140625" level="0" outlineLevel="0"/>
    <col min="202" max="202" customWidth="1" width="9.140625" level="0" outlineLevel="0"/>
    <col min="203" max="203" customWidth="1" width="9.140625" level="0" outlineLevel="0"/>
    <col min="204" max="204" customWidth="1" width="9.140625" level="0" outlineLevel="0"/>
    <col min="205" max="205" customWidth="1" width="9.140625" level="0" outlineLevel="0"/>
    <col min="206" max="206" customWidth="1" width="9.140625" level="0" outlineLevel="0"/>
    <col min="207" max="207" customWidth="1" width="9.140625" level="0" outlineLevel="0"/>
    <col min="208" max="208" customWidth="1" width="9.140625" level="0" outlineLevel="0"/>
    <col min="209" max="209" customWidth="1" width="9.140625" level="0" outlineLevel="0"/>
    <col min="210" max="210" customWidth="1" width="9.140625" level="0" outlineLevel="0"/>
    <col min="211" max="211" customWidth="1" width="9.140625" level="0" outlineLevel="0"/>
    <col min="212" max="212" customWidth="1" width="9.140625" level="0" outlineLevel="0"/>
    <col min="213" max="213" customWidth="1" width="9.140625" level="0" outlineLevel="0"/>
    <col min="214" max="214" customWidth="1" width="9.140625" level="0" outlineLevel="0"/>
    <col min="215" max="215" customWidth="1" width="9.140625" level="0" outlineLevel="0"/>
    <col min="216" max="216" customWidth="1" width="9.140625" level="0" outlineLevel="0"/>
    <col min="217" max="217" customWidth="1" width="9.140625" level="0" outlineLevel="0"/>
    <col min="218" max="218" customWidth="1" width="9.140625" level="0" outlineLevel="0"/>
    <col min="219" max="219" customWidth="1" width="9.140625" level="0" outlineLevel="0"/>
    <col min="220" max="220" customWidth="1" width="9.140625" level="0" outlineLevel="0"/>
    <col min="221" max="221" customWidth="1" width="9.140625" level="0" outlineLevel="0"/>
    <col min="222" max="222" customWidth="1" width="9.140625" level="0" outlineLevel="0"/>
    <col min="223" max="223" customWidth="1" width="9.140625" level="0" outlineLevel="0"/>
    <col min="224" max="224" customWidth="1" width="9.140625" level="0" outlineLevel="0"/>
    <col min="225" max="225" customWidth="1" width="9.140625" level="0" outlineLevel="0"/>
    <col min="226" max="226" customWidth="1" width="9.140625" level="0" outlineLevel="0"/>
    <col min="227" max="227" customWidth="1" width="9.140625" level="0" outlineLevel="0"/>
    <col min="228" max="228" customWidth="1" width="9.140625" level="0" outlineLevel="0"/>
    <col min="229" max="229" customWidth="1" width="9.140625" level="0" outlineLevel="0"/>
    <col min="230" max="230" customWidth="1" width="9.140625" level="0" outlineLevel="0"/>
    <col min="231" max="231" customWidth="1" width="9.140625" level="0" outlineLevel="0"/>
    <col min="232" max="232" customWidth="1" width="9.140625" level="0" outlineLevel="0"/>
    <col min="233" max="233" customWidth="1" width="9.140625" level="0" outlineLevel="0"/>
    <col min="234" max="234" customWidth="1" width="9.140625" level="0" outlineLevel="0"/>
    <col min="235" max="235" customWidth="1" width="9.140625" level="0" outlineLevel="0"/>
    <col min="236" max="236" customWidth="1" width="9.140625" level="0" outlineLevel="0"/>
    <col min="237" max="237" customWidth="1" width="9.140625" level="0" outlineLevel="0"/>
    <col min="238" max="238" customWidth="1" width="9.140625" level="0" outlineLevel="0"/>
    <col min="239" max="239" customWidth="1" width="9.140625" level="0" outlineLevel="0"/>
    <col min="240" max="240" customWidth="1" width="9.140625" level="0" outlineLevel="0"/>
    <col min="241" max="241" customWidth="1" width="9.140625" level="0" outlineLevel="0"/>
    <col min="242" max="242" customWidth="1" width="9.140625" level="0" outlineLevel="0"/>
    <col min="243" max="243" customWidth="1" width="9.140625" level="0" outlineLevel="0"/>
    <col min="244" max="244" customWidth="1" width="9.140625" level="0" outlineLevel="0"/>
    <col min="245" max="245" customWidth="1" width="9.140625" level="0" outlineLevel="0"/>
    <col min="246" max="246" customWidth="1" width="9.140625" level="0" outlineLevel="0"/>
    <col min="247" max="247" customWidth="1" width="9.140625" level="0" outlineLevel="0"/>
    <col min="248" max="248" customWidth="1" width="9.140625" level="0" outlineLevel="0"/>
    <col min="249" max="249" customWidth="1" width="9.140625" level="0" outlineLevel="0"/>
    <col min="250" max="250" customWidth="1" width="9.140625" level="0" outlineLevel="0"/>
    <col min="251" max="251" customWidth="1" width="9.140625" level="0" outlineLevel="0"/>
    <col min="252" max="252" customWidth="1" width="9.140625" level="0" outlineLevel="0"/>
    <col min="253" max="253" customWidth="1" width="9.140625" level="0" outlineLevel="0"/>
    <col min="254" max="254" customWidth="1" width="9.140625" level="0" outlineLevel="0"/>
    <col min="255" max="255" customWidth="1" width="9.140625" level="0" outlineLevel="0"/>
    <col min="256" max="256" customWidth="1" width="9.140625" level="0" outlineLevel="0"/>
    <col min="257" max="257" customWidth="1" width="9.140625" level="0" outlineLevel="0"/>
  </cols>
  <sheetData>
    <row r="1">
      <c r="A1" t="str">
        <v>Объект капитального строительства:</v>
      </c>
    </row>
    <row r="2" ht="50.1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CONCATENATE('Лист1'!A7,'Лист1'!A8)</f>
        <v>ООО «СМК»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CONCATENATE('Лист1'!A10,'Лист1'!A11)</f>
        <v xml:space="preserve">ООО «СМК»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2.75" customHeight="1">
      <c r="A14" t="str">
        <v>АКТ</v>
      </c>
    </row>
    <row r="15">
      <c r="A15" t="str">
        <v>освидетельствования скрытых работ</v>
      </c>
    </row>
    <row r="16" ht="15" customHeight="1">
      <c r="A16" t="str">
        <v>(проверка труб закрытого перехода методом ГНБ на соосность)</v>
      </c>
    </row>
    <row r="17">
      <c r="A17" s="1" t="str">
        <f>'Лист1'!B78</f>
        <v>№1/6</v>
      </c>
      <c r="L17" s="1">
        <f>'Лист1'!E78</f>
        <v>45961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CONCATENATE('Лист1'!A14,'Лист1'!A15)</f>
        <v>Заместитель начальника УКС ЮВО МКС филиал ПАО «РОССЕТИ МОСКОВСКИЙ РЕГИОН» Гусев П.А.ИНРС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Представитель лица, осуществляющего строительство, реконструкцию, капитальный ремонт: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 xml:space="preserve">Представитель лица, осуществляющего строительство, реконструкцию, капитальный ремонт по вопросам строительного  контроля: 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39.95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 (в случае осуществления авторского надзора лицом, не являющимся разработчиком проектной документации), полное и (или) сокращенное наименование, ОГРН, ИНН саморегулируемой организации, членом которой является указанное юридическое лицо,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v>
      </c>
    </row>
    <row r="31" ht="30" customHeight="1">
      <c r="A31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v>
      </c>
    </row>
    <row r="32" ht="45" customHeight="1">
      <c r="A32" t="str">
        <f>CONCATENATE('Лист1'!A26,'Лист1'!A27,'Лист1'!A29)</f>
        <v>Главный инженер ООО «СКМ-ГРУПП» Картавченко А.Л.,Приказ №25-11-03-1 от 03.11.2023 г.ОГРН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4.95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(должность, фамилия, инициалы, реквизиты документа о представительстве)</v>
      </c>
    </row>
    <row r="37" ht="15.75" customHeight="1">
      <c r="A37" t="str">
        <v xml:space="preserve">произвели осмотр работ, выполненных: </v>
      </c>
    </row>
    <row r="38" ht="15" customHeight="1">
      <c r="A38" t="str">
        <f>'Лист1'!C69</f>
        <v xml:space="preserve"> ООО «СКМ-ГРУПП»</v>
      </c>
    </row>
    <row r="39">
      <c r="A39" t="str">
        <v>(наименование лица, осуществляющего строительство, выполнившего работы)</v>
      </c>
    </row>
    <row r="40">
      <c r="A40" t="str">
        <v>и составили настоящий акт о нижеследующем:</v>
      </c>
    </row>
    <row r="41" ht="15.75" customHeight="1">
      <c r="A41" t="str">
        <v xml:space="preserve">1. К освидетельствованию представлены следующие работы:: </v>
      </c>
    </row>
    <row r="42" ht="45" customHeight="1">
      <c r="A42" t="str">
        <f>CONCATENATE("Проверка соосности труб закрытого перехода ",'Лист1'!C49," состоящего из ",'Лист1'!C56," методом протаскивания металлического шара (калибра) диаметром ",'Лист1'!C55-30," мм в каждый трубоканал закрытого перехода,", " расположенного по адресу:"," ",'Лист1'!C48,)</f>
        <v>Проверка соосности труб закрытого перехода №1  состоящего из 3(трёх) труб (ЭЛЕКТРОПАЙП ОС РС 160х8.9 SN16-N F90 T120) методом протаскивания металлического шара (калибра) диаметром 130 мм в каждый трубоканал закрытого перехода, расположенного по адресу: г. Москва, Салтыковская ул. д.5А</v>
      </c>
    </row>
    <row r="43">
      <c r="A43" t="str">
        <v>(наименование скрытых работ)</v>
      </c>
    </row>
    <row r="44">
      <c r="A44" t="str">
        <v>2. Работы выполнены в соответствии с:</v>
      </c>
    </row>
    <row r="45" ht="60" customHeight="1">
      <c r="A45" t="str">
        <f>CONCATENATE("Проектом:"," ",'Лист1'!C67," шифр:"," ",'Лист1'!C68," Тиутул:"," ",'Лист1'!A2,)</f>
        <v xml:space="preserve">Проектом: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6">
      <c r="A46" t="str">
        <v>(номер, другие реквизиты чертежа, наименование проектной или рабочей документации, сведения о лицах, осуществляющих подготовку, раздела проектной и/или рабочей документации)</v>
      </c>
    </row>
    <row r="47">
      <c r="A47" t="str">
        <v>3. При выполнении работ применены:</v>
      </c>
    </row>
    <row r="48" ht="15" customHeight="1">
      <c r="A48" t="str">
        <v>1. Шнур капроновый ПА6  , 2.Металлический шар Ø130 мм.</v>
      </c>
    </row>
    <row r="49">
      <c r="A49" t="str">
        <v>(наименование строительных материалов(изделий) со ссылкой на сертификаты или другие документы, подтверждающие качество)</v>
      </c>
    </row>
    <row r="50" ht="15" customHeight="1">
      <c r="A50" t="str">
        <v>4.    Предъявлены документы, подтверждающие соответствие работ предъявляемым к ним требованиям:</v>
      </c>
    </row>
    <row r="51" ht="15" customHeight="1">
      <c r="A51" t="str">
        <f>CONCATENATE("1. Протокол бурения скважины закрытого перехода "," ",'Лист1'!C49," 2. Исполнительный чертеж закрытого перехода"," ", 'Лист1'!C49,)</f>
        <v xml:space="preserve">1. Протокол бурения скважины закрытого перехода  №1  2. Исполнительный чертеж закрытого перехода №1 </v>
      </c>
    </row>
    <row r="52">
      <c r="A52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3" ht="15" customHeight="1">
      <c r="A53" t="str">
        <v xml:space="preserve">5. Даты: </v>
      </c>
      <c r="B53" t="str">
        <v>начало работ:</v>
      </c>
      <c r="D53" s="1">
        <f>'Лист1'!C78</f>
        <v>45961</v>
      </c>
    </row>
    <row r="54" ht="15" customHeight="1">
      <c r="B54" t="str">
        <v>окончание работ:</v>
      </c>
      <c r="D54" s="1">
        <f>'Лист1'!E78</f>
        <v>45961</v>
      </c>
    </row>
    <row r="55">
      <c r="A55" t="str">
        <v xml:space="preserve">6. Работы выполнены в соответствии с: </v>
      </c>
    </row>
    <row r="56" ht="45" customHeight="1">
      <c r="A56" t="str">
        <f>CONCATENATE("Проектом:"," ",'Лист1'!C67," шифр:"," ",'Лист1'!C68,"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бурением",)</f>
        <v>Проектом: ООО «СМК»  шифр: 345716/ПС-25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</v>
      </c>
    </row>
    <row r="57">
      <c r="A57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8">
      <c r="A58" t="str">
        <v xml:space="preserve">7. Разрешается производство последующих работ по: </v>
      </c>
    </row>
    <row r="59">
      <c r="A59" t="str">
        <v>Прокладка кабельной линии в закрытый переход</v>
      </c>
    </row>
    <row r="60">
      <c r="A60" t="str">
        <v>(наименование работ, конструкций, участков сетей инженерно-технического обеспечения)</v>
      </c>
    </row>
    <row r="61">
      <c r="A61" t="str">
        <v xml:space="preserve">Дополнительные сведения: </v>
      </c>
      <c r="D61" t="str">
        <v>отсутствуют</v>
      </c>
    </row>
    <row r="62">
      <c r="A62" t="str">
        <f>CONCATENATE("Акт составлен в"," ",'Лист1'!K72," экземплярах",)</f>
        <v>Акт составлен в 2 экземплярах</v>
      </c>
    </row>
    <row r="63"/>
    <row r="64">
      <c r="A64" t="str">
        <v xml:space="preserve">Приложения: </v>
      </c>
    </row>
    <row r="65">
      <c r="A65" t="str">
        <v>1. В соответствии с п.3 и п.4</v>
      </c>
    </row>
    <row r="66">
      <c r="A66">
        <v>2</v>
      </c>
    </row>
    <row r="67"/>
    <row r="68" ht="30" customHeight="1">
      <c r="A68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9" ht="15" customHeight="1">
      <c r="A69" t="str">
        <f>'Лист1'!B35</f>
        <v>Гусев П.А.</v>
      </c>
    </row>
    <row r="70">
      <c r="A70" t="str">
        <v>(фамилия, инициалы, подпись)</v>
      </c>
    </row>
    <row r="71" ht="15" customHeight="1">
      <c r="A71" t="str">
        <v>Представитель лица, осуществляющего строительство, реконструкцию, капитальный ремонт:</v>
      </c>
    </row>
    <row r="72" ht="15" customHeight="1">
      <c r="A72" t="str">
        <f>'Лист1'!B39</f>
        <v>Тишков В.А.</v>
      </c>
    </row>
    <row r="73">
      <c r="A73" t="str">
        <v>(фамилия, инициалы, подпись)</v>
      </c>
    </row>
    <row r="74" ht="15" customHeight="1">
      <c r="A74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75" ht="15" customHeight="1">
      <c r="A75" t="str">
        <f>'Лист1'!B37</f>
        <v>Прошин Н.Н.</v>
      </c>
    </row>
    <row r="76">
      <c r="A76" t="str">
        <v>(фамилия, инициалы, подпись)</v>
      </c>
    </row>
    <row r="77" ht="45" customHeight="1">
      <c r="A77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8" ht="15" customHeight="1">
      <c r="A78" t="str">
        <f>'Лист1'!B41</f>
        <v>Сергеев А.А.</v>
      </c>
    </row>
    <row r="79">
      <c r="A79" t="str">
        <v>(фамилия, инициалы, подпись)</v>
      </c>
    </row>
    <row r="80" ht="30" customHeight="1">
      <c r="A80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лицами):</v>
      </c>
    </row>
    <row r="81" ht="15" customHeight="1">
      <c r="A81" t="str">
        <f>'Лист1'!B43</f>
        <v>Картавченко А.Л.</v>
      </c>
    </row>
    <row r="82">
      <c r="A82" t="str">
        <v>(фамилия, инициалы, подпись)</v>
      </c>
    </row>
    <row r="83">
      <c r="A83" t="str">
        <v>Представители иных лиц технического заказчика:</v>
      </c>
    </row>
    <row r="84" ht="15" customHeight="1">
      <c r="A84" t="str">
        <f>'Лист1'!B45</f>
        <v>Рящиков М.Ю.</v>
      </c>
    </row>
    <row r="85">
      <c r="A85" t="str">
        <v>(фамилия, инициалы, подпись)</v>
      </c>
    </row>
  </sheetData>
  <mergeCells count="58">
    <mergeCell ref="A82:M82"/>
    <mergeCell ref="A85:M85"/>
    <mergeCell ref="A73:M73"/>
    <mergeCell ref="A74:M74"/>
    <mergeCell ref="A76:M76"/>
    <mergeCell ref="A77:M77"/>
    <mergeCell ref="A79:M79"/>
    <mergeCell ref="A80:M80"/>
    <mergeCell ref="A60:M60"/>
    <mergeCell ref="D61:E61"/>
    <mergeCell ref="A66:B66"/>
    <mergeCell ref="A68:M68"/>
    <mergeCell ref="A70:M70"/>
    <mergeCell ref="A71:M71"/>
    <mergeCell ref="A52:M52"/>
    <mergeCell ref="B53:C53"/>
    <mergeCell ref="B54:C54"/>
    <mergeCell ref="A56:M56"/>
    <mergeCell ref="A57:M57"/>
    <mergeCell ref="A59:M59"/>
    <mergeCell ref="D53:E53"/>
    <mergeCell ref="D54:E54"/>
    <mergeCell ref="A43:M43"/>
    <mergeCell ref="A45:M45"/>
    <mergeCell ref="A46:M46"/>
    <mergeCell ref="A48:M48"/>
    <mergeCell ref="A49:M49"/>
    <mergeCell ref="A51:M51"/>
    <mergeCell ref="A36:M36"/>
    <mergeCell ref="A38:M38"/>
    <mergeCell ref="A39:M39"/>
    <mergeCell ref="A42:M42"/>
    <mergeCell ref="A35:M35"/>
    <mergeCell ref="A28:M28"/>
    <mergeCell ref="A29:M29"/>
    <mergeCell ref="A30:M30"/>
    <mergeCell ref="A31:M31"/>
    <mergeCell ref="A32:M32"/>
    <mergeCell ref="A33:M33"/>
    <mergeCell ref="A21:M21"/>
    <mergeCell ref="A24:M24"/>
    <mergeCell ref="A25:M25"/>
    <mergeCell ref="A26:M26"/>
    <mergeCell ref="A27:M27"/>
    <mergeCell ref="A23:M23"/>
    <mergeCell ref="A12:M12"/>
    <mergeCell ref="A14:M14"/>
    <mergeCell ref="A15:M15"/>
    <mergeCell ref="A16:M16"/>
    <mergeCell ref="L17:M17"/>
    <mergeCell ref="A20:M20"/>
    <mergeCell ref="A19:M19"/>
    <mergeCell ref="A2:M2"/>
    <mergeCell ref="A5:M5"/>
    <mergeCell ref="A6:M6"/>
    <mergeCell ref="A8:M8"/>
    <mergeCell ref="A9:M9"/>
    <mergeCell ref="A11:M11"/>
  </mergeCells>
  <pageMargins left="0.23622047244094488" right="0.23622047244094488" top="0.2925" bottom="0.975" header="0.31496062992125984" footer="0.31496062992125984"/>
  <ignoredErrors>
    <ignoredError numberStoredAsText="1" sqref="A1:M8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85"/>
  <sheetViews>
    <sheetView workbookViewId="0" rightToLeft="0"/>
  </sheetViews>
  <cols>
    <col min="1" max="1" customWidth="1" width="9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  <col min="14" max="14" customWidth="1" width="9.140625" level="0" outlineLevel="0"/>
    <col min="15" max="15" customWidth="1" width="9.140625" level="0" outlineLevel="0"/>
    <col min="16" max="16" customWidth="1" width="9.140625" level="0" outlineLevel="0"/>
    <col min="17" max="17" customWidth="1" width="9.140625" level="0" outlineLevel="0"/>
    <col min="18" max="18" customWidth="1" width="9.140625" level="0" outlineLevel="0"/>
    <col min="19" max="19" customWidth="1" width="9.140625" level="0" outlineLevel="0"/>
    <col min="20" max="20" customWidth="1" width="9.140625" level="0" outlineLevel="0"/>
    <col min="21" max="21" customWidth="1" width="9.140625" level="0" outlineLevel="0"/>
    <col min="22" max="22" customWidth="1" width="9.140625" level="0" outlineLevel="0"/>
    <col min="23" max="23" customWidth="1" width="9.140625" level="0" outlineLevel="0"/>
    <col min="24" max="24" customWidth="1" width="9.140625" level="0" outlineLevel="0"/>
    <col min="25" max="25" customWidth="1" width="9.140625" level="0" outlineLevel="0"/>
    <col min="26" max="26" customWidth="1" width="9.140625" level="0" outlineLevel="0"/>
    <col min="27" max="27" customWidth="1" width="9.140625" level="0" outlineLevel="0"/>
    <col min="28" max="28" customWidth="1" width="9.140625" level="0" outlineLevel="0"/>
    <col min="29" max="29" customWidth="1" width="9.140625" level="0" outlineLevel="0"/>
    <col min="30" max="30" customWidth="1" width="9.140625" level="0" outlineLevel="0"/>
    <col min="31" max="31" customWidth="1" width="9.140625" level="0" outlineLevel="0"/>
    <col min="32" max="32" customWidth="1" width="9.140625" level="0" outlineLevel="0"/>
    <col min="33" max="33" customWidth="1" width="9.140625" level="0" outlineLevel="0"/>
    <col min="34" max="34" customWidth="1" width="9.140625" level="0" outlineLevel="0"/>
    <col min="35" max="35" customWidth="1" width="9.140625" level="0" outlineLevel="0"/>
    <col min="36" max="36" customWidth="1" width="9.140625" level="0" outlineLevel="0"/>
    <col min="37" max="37" customWidth="1" width="9.140625" level="0" outlineLevel="0"/>
    <col min="38" max="38" customWidth="1" width="9.140625" level="0" outlineLevel="0"/>
    <col min="39" max="39" customWidth="1" width="9.140625" level="0" outlineLevel="0"/>
    <col min="40" max="40" customWidth="1" width="9.140625" level="0" outlineLevel="0"/>
    <col min="41" max="41" customWidth="1" width="9.140625" level="0" outlineLevel="0"/>
    <col min="42" max="42" customWidth="1" width="9.140625" level="0" outlineLevel="0"/>
    <col min="43" max="43" customWidth="1" width="9.140625" level="0" outlineLevel="0"/>
    <col min="44" max="44" customWidth="1" width="9.140625" level="0" outlineLevel="0"/>
    <col min="45" max="45" customWidth="1" width="9.140625" level="0" outlineLevel="0"/>
    <col min="46" max="46" customWidth="1" width="9.140625" level="0" outlineLevel="0"/>
    <col min="47" max="47" customWidth="1" width="9.140625" level="0" outlineLevel="0"/>
    <col min="48" max="48" customWidth="1" width="9.140625" level="0" outlineLevel="0"/>
    <col min="49" max="49" customWidth="1" width="9.140625" level="0" outlineLevel="0"/>
    <col min="50" max="50" customWidth="1" width="9.140625" level="0" outlineLevel="0"/>
    <col min="51" max="51" customWidth="1" width="9.140625" level="0" outlineLevel="0"/>
    <col min="52" max="52" customWidth="1" width="9.140625" level="0" outlineLevel="0"/>
    <col min="53" max="53" customWidth="1" width="9.140625" level="0" outlineLevel="0"/>
    <col min="54" max="54" customWidth="1" width="9.140625" level="0" outlineLevel="0"/>
    <col min="55" max="55" customWidth="1" width="9.140625" level="0" outlineLevel="0"/>
    <col min="56" max="56" customWidth="1" width="9.140625" level="0" outlineLevel="0"/>
    <col min="57" max="57" customWidth="1" width="9.140625" level="0" outlineLevel="0"/>
    <col min="58" max="58" customWidth="1" width="9.140625" level="0" outlineLevel="0"/>
    <col min="59" max="59" customWidth="1" width="9.140625" level="0" outlineLevel="0"/>
    <col min="60" max="60" customWidth="1" width="9.140625" level="0" outlineLevel="0"/>
    <col min="61" max="61" customWidth="1" width="9.140625" level="0" outlineLevel="0"/>
    <col min="62" max="62" customWidth="1" width="9.140625" level="0" outlineLevel="0"/>
    <col min="63" max="63" customWidth="1" width="9.140625" level="0" outlineLevel="0"/>
    <col min="64" max="64" customWidth="1" width="9.140625" level="0" outlineLevel="0"/>
    <col min="65" max="65" customWidth="1" width="9.140625" level="0" outlineLevel="0"/>
    <col min="66" max="66" customWidth="1" width="9.140625" level="0" outlineLevel="0"/>
    <col min="67" max="67" customWidth="1" width="9.140625" level="0" outlineLevel="0"/>
    <col min="68" max="68" customWidth="1" width="9.140625" level="0" outlineLevel="0"/>
    <col min="69" max="69" customWidth="1" width="9.140625" level="0" outlineLevel="0"/>
    <col min="70" max="70" customWidth="1" width="9.140625" level="0" outlineLevel="0"/>
    <col min="71" max="71" customWidth="1" width="9.140625" level="0" outlineLevel="0"/>
    <col min="72" max="72" customWidth="1" width="9.140625" level="0" outlineLevel="0"/>
    <col min="73" max="73" customWidth="1" width="9.140625" level="0" outlineLevel="0"/>
    <col min="74" max="74" customWidth="1" width="9.140625" level="0" outlineLevel="0"/>
    <col min="75" max="75" customWidth="1" width="9.140625" level="0" outlineLevel="0"/>
    <col min="76" max="76" customWidth="1" width="9.140625" level="0" outlineLevel="0"/>
    <col min="77" max="77" customWidth="1" width="9.140625" level="0" outlineLevel="0"/>
    <col min="78" max="78" customWidth="1" width="9.140625" level="0" outlineLevel="0"/>
    <col min="79" max="79" customWidth="1" width="9.140625" level="0" outlineLevel="0"/>
    <col min="80" max="80" customWidth="1" width="9.140625" level="0" outlineLevel="0"/>
    <col min="81" max="81" customWidth="1" width="9.140625" level="0" outlineLevel="0"/>
    <col min="82" max="82" customWidth="1" width="9.140625" level="0" outlineLevel="0"/>
    <col min="83" max="83" customWidth="1" width="9.140625" level="0" outlineLevel="0"/>
    <col min="84" max="84" customWidth="1" width="9.140625" level="0" outlineLevel="0"/>
    <col min="85" max="85" customWidth="1" width="9.140625" level="0" outlineLevel="0"/>
    <col min="86" max="86" customWidth="1" width="9.140625" level="0" outlineLevel="0"/>
    <col min="87" max="87" customWidth="1" width="9.140625" level="0" outlineLevel="0"/>
    <col min="88" max="88" customWidth="1" width="9.140625" level="0" outlineLevel="0"/>
    <col min="89" max="89" customWidth="1" width="9.140625" level="0" outlineLevel="0"/>
    <col min="90" max="90" customWidth="1" width="9.140625" level="0" outlineLevel="0"/>
    <col min="91" max="91" customWidth="1" width="9.140625" level="0" outlineLevel="0"/>
    <col min="92" max="92" customWidth="1" width="9.140625" level="0" outlineLevel="0"/>
    <col min="93" max="93" customWidth="1" width="9.140625" level="0" outlineLevel="0"/>
    <col min="94" max="94" customWidth="1" width="9.140625" level="0" outlineLevel="0"/>
    <col min="95" max="95" customWidth="1" width="9.140625" level="0" outlineLevel="0"/>
    <col min="96" max="96" customWidth="1" width="9.140625" level="0" outlineLevel="0"/>
    <col min="97" max="97" customWidth="1" width="9.140625" level="0" outlineLevel="0"/>
    <col min="98" max="98" customWidth="1" width="9.140625" level="0" outlineLevel="0"/>
    <col min="99" max="99" customWidth="1" width="9.140625" level="0" outlineLevel="0"/>
    <col min="100" max="100" customWidth="1" width="9.140625" level="0" outlineLevel="0"/>
    <col min="101" max="101" customWidth="1" width="9.140625" level="0" outlineLevel="0"/>
    <col min="102" max="102" customWidth="1" width="9.140625" level="0" outlineLevel="0"/>
    <col min="103" max="103" customWidth="1" width="9.140625" level="0" outlineLevel="0"/>
    <col min="104" max="104" customWidth="1" width="9.140625" level="0" outlineLevel="0"/>
    <col min="105" max="105" customWidth="1" width="9.140625" level="0" outlineLevel="0"/>
    <col min="106" max="106" customWidth="1" width="9.140625" level="0" outlineLevel="0"/>
    <col min="107" max="107" customWidth="1" width="9.140625" level="0" outlineLevel="0"/>
    <col min="108" max="108" customWidth="1" width="9.140625" level="0" outlineLevel="0"/>
    <col min="109" max="109" customWidth="1" width="9.140625" level="0" outlineLevel="0"/>
    <col min="110" max="110" customWidth="1" width="9.140625" level="0" outlineLevel="0"/>
    <col min="111" max="111" customWidth="1" width="9.140625" level="0" outlineLevel="0"/>
    <col min="112" max="112" customWidth="1" width="9.140625" level="0" outlineLevel="0"/>
    <col min="113" max="113" customWidth="1" width="9.140625" level="0" outlineLevel="0"/>
    <col min="114" max="114" customWidth="1" width="9.140625" level="0" outlineLevel="0"/>
    <col min="115" max="115" customWidth="1" width="9.140625" level="0" outlineLevel="0"/>
    <col min="116" max="116" customWidth="1" width="9.140625" level="0" outlineLevel="0"/>
    <col min="117" max="117" customWidth="1" width="9.140625" level="0" outlineLevel="0"/>
    <col min="118" max="118" customWidth="1" width="9.140625" level="0" outlineLevel="0"/>
    <col min="119" max="119" customWidth="1" width="9.140625" level="0" outlineLevel="0"/>
    <col min="120" max="120" customWidth="1" width="9.140625" level="0" outlineLevel="0"/>
    <col min="121" max="121" customWidth="1" width="9.140625" level="0" outlineLevel="0"/>
    <col min="122" max="122" customWidth="1" width="9.140625" level="0" outlineLevel="0"/>
    <col min="123" max="123" customWidth="1" width="9.140625" level="0" outlineLevel="0"/>
    <col min="124" max="124" customWidth="1" width="9.140625" level="0" outlineLevel="0"/>
    <col min="125" max="125" customWidth="1" width="9.140625" level="0" outlineLevel="0"/>
    <col min="126" max="126" customWidth="1" width="9.140625" level="0" outlineLevel="0"/>
    <col min="127" max="127" customWidth="1" width="9.140625" level="0" outlineLevel="0"/>
    <col min="128" max="128" customWidth="1" width="9.140625" level="0" outlineLevel="0"/>
    <col min="129" max="129" customWidth="1" width="9.140625" level="0" outlineLevel="0"/>
    <col min="130" max="130" customWidth="1" width="9.140625" level="0" outlineLevel="0"/>
    <col min="131" max="131" customWidth="1" width="9.140625" level="0" outlineLevel="0"/>
    <col min="132" max="132" customWidth="1" width="9.140625" level="0" outlineLevel="0"/>
    <col min="133" max="133" customWidth="1" width="9.140625" level="0" outlineLevel="0"/>
    <col min="134" max="134" customWidth="1" width="9.140625" level="0" outlineLevel="0"/>
    <col min="135" max="135" customWidth="1" width="9.140625" level="0" outlineLevel="0"/>
    <col min="136" max="136" customWidth="1" width="9.140625" level="0" outlineLevel="0"/>
    <col min="137" max="137" customWidth="1" width="9.140625" level="0" outlineLevel="0"/>
    <col min="138" max="138" customWidth="1" width="9.140625" level="0" outlineLevel="0"/>
    <col min="139" max="139" customWidth="1" width="9.140625" level="0" outlineLevel="0"/>
    <col min="140" max="140" customWidth="1" width="9.140625" level="0" outlineLevel="0"/>
    <col min="141" max="141" customWidth="1" width="9.140625" level="0" outlineLevel="0"/>
    <col min="142" max="142" customWidth="1" width="9.140625" level="0" outlineLevel="0"/>
    <col min="143" max="143" customWidth="1" width="9.140625" level="0" outlineLevel="0"/>
    <col min="144" max="144" customWidth="1" width="9.140625" level="0" outlineLevel="0"/>
    <col min="145" max="145" customWidth="1" width="9.140625" level="0" outlineLevel="0"/>
    <col min="146" max="146" customWidth="1" width="9.140625" level="0" outlineLevel="0"/>
    <col min="147" max="147" customWidth="1" width="9.140625" level="0" outlineLevel="0"/>
    <col min="148" max="148" customWidth="1" width="9.140625" level="0" outlineLevel="0"/>
    <col min="149" max="149" customWidth="1" width="9.140625" level="0" outlineLevel="0"/>
    <col min="150" max="150" customWidth="1" width="9.140625" level="0" outlineLevel="0"/>
    <col min="151" max="151" customWidth="1" width="9.140625" level="0" outlineLevel="0"/>
    <col min="152" max="152" customWidth="1" width="9.140625" level="0" outlineLevel="0"/>
    <col min="153" max="153" customWidth="1" width="9.140625" level="0" outlineLevel="0"/>
    <col min="154" max="154" customWidth="1" width="9.140625" level="0" outlineLevel="0"/>
    <col min="155" max="155" customWidth="1" width="9.140625" level="0" outlineLevel="0"/>
    <col min="156" max="156" customWidth="1" width="9.140625" level="0" outlineLevel="0"/>
    <col min="157" max="157" customWidth="1" width="9.140625" level="0" outlineLevel="0"/>
    <col min="158" max="158" customWidth="1" width="9.140625" level="0" outlineLevel="0"/>
    <col min="159" max="159" customWidth="1" width="9.140625" level="0" outlineLevel="0"/>
    <col min="160" max="160" customWidth="1" width="9.140625" level="0" outlineLevel="0"/>
    <col min="161" max="161" customWidth="1" width="9.140625" level="0" outlineLevel="0"/>
    <col min="162" max="162" customWidth="1" width="9.140625" level="0" outlineLevel="0"/>
    <col min="163" max="163" customWidth="1" width="9.140625" level="0" outlineLevel="0"/>
    <col min="164" max="164" customWidth="1" width="9.140625" level="0" outlineLevel="0"/>
    <col min="165" max="165" customWidth="1" width="9.140625" level="0" outlineLevel="0"/>
    <col min="166" max="166" customWidth="1" width="9.140625" level="0" outlineLevel="0"/>
    <col min="167" max="167" customWidth="1" width="9.140625" level="0" outlineLevel="0"/>
    <col min="168" max="168" customWidth="1" width="9.140625" level="0" outlineLevel="0"/>
    <col min="169" max="169" customWidth="1" width="9.140625" level="0" outlineLevel="0"/>
    <col min="170" max="170" customWidth="1" width="9.140625" level="0" outlineLevel="0"/>
    <col min="171" max="171" customWidth="1" width="9.140625" level="0" outlineLevel="0"/>
    <col min="172" max="172" customWidth="1" width="9.140625" level="0" outlineLevel="0"/>
    <col min="173" max="173" customWidth="1" width="9.140625" level="0" outlineLevel="0"/>
    <col min="174" max="174" customWidth="1" width="9.140625" level="0" outlineLevel="0"/>
    <col min="175" max="175" customWidth="1" width="9.140625" level="0" outlineLevel="0"/>
    <col min="176" max="176" customWidth="1" width="9.140625" level="0" outlineLevel="0"/>
    <col min="177" max="177" customWidth="1" width="9.140625" level="0" outlineLevel="0"/>
    <col min="178" max="178" customWidth="1" width="9.140625" level="0" outlineLevel="0"/>
    <col min="179" max="179" customWidth="1" width="9.140625" level="0" outlineLevel="0"/>
    <col min="180" max="180" customWidth="1" width="9.140625" level="0" outlineLevel="0"/>
    <col min="181" max="181" customWidth="1" width="9.140625" level="0" outlineLevel="0"/>
    <col min="182" max="182" customWidth="1" width="9.140625" level="0" outlineLevel="0"/>
    <col min="183" max="183" customWidth="1" width="9.140625" level="0" outlineLevel="0"/>
    <col min="184" max="184" customWidth="1" width="9.140625" level="0" outlineLevel="0"/>
    <col min="185" max="185" customWidth="1" width="9.140625" level="0" outlineLevel="0"/>
    <col min="186" max="186" customWidth="1" width="9.140625" level="0" outlineLevel="0"/>
    <col min="187" max="187" customWidth="1" width="9.140625" level="0" outlineLevel="0"/>
    <col min="188" max="188" customWidth="1" width="9.140625" level="0" outlineLevel="0"/>
    <col min="189" max="189" customWidth="1" width="9.140625" level="0" outlineLevel="0"/>
    <col min="190" max="190" customWidth="1" width="9.140625" level="0" outlineLevel="0"/>
    <col min="191" max="191" customWidth="1" width="9.140625" level="0" outlineLevel="0"/>
    <col min="192" max="192" customWidth="1" width="9.140625" level="0" outlineLevel="0"/>
    <col min="193" max="193" customWidth="1" width="9.140625" level="0" outlineLevel="0"/>
    <col min="194" max="194" customWidth="1" width="9.140625" level="0" outlineLevel="0"/>
    <col min="195" max="195" customWidth="1" width="9.140625" level="0" outlineLevel="0"/>
    <col min="196" max="196" customWidth="1" width="9.140625" level="0" outlineLevel="0"/>
    <col min="197" max="197" customWidth="1" width="9.140625" level="0" outlineLevel="0"/>
    <col min="198" max="198" customWidth="1" width="9.140625" level="0" outlineLevel="0"/>
    <col min="199" max="199" customWidth="1" width="9.140625" level="0" outlineLevel="0"/>
    <col min="200" max="200" customWidth="1" width="9.140625" level="0" outlineLevel="0"/>
    <col min="201" max="201" customWidth="1" width="9.140625" level="0" outlineLevel="0"/>
    <col min="202" max="202" customWidth="1" width="9.140625" level="0" outlineLevel="0"/>
    <col min="203" max="203" customWidth="1" width="9.140625" level="0" outlineLevel="0"/>
    <col min="204" max="204" customWidth="1" width="9.140625" level="0" outlineLevel="0"/>
    <col min="205" max="205" customWidth="1" width="9.140625" level="0" outlineLevel="0"/>
    <col min="206" max="206" customWidth="1" width="9.140625" level="0" outlineLevel="0"/>
    <col min="207" max="207" customWidth="1" width="9.140625" level="0" outlineLevel="0"/>
    <col min="208" max="208" customWidth="1" width="9.140625" level="0" outlineLevel="0"/>
    <col min="209" max="209" customWidth="1" width="9.140625" level="0" outlineLevel="0"/>
    <col min="210" max="210" customWidth="1" width="9.140625" level="0" outlineLevel="0"/>
    <col min="211" max="211" customWidth="1" width="9.140625" level="0" outlineLevel="0"/>
    <col min="212" max="212" customWidth="1" width="9.140625" level="0" outlineLevel="0"/>
    <col min="213" max="213" customWidth="1" width="9.140625" level="0" outlineLevel="0"/>
    <col min="214" max="214" customWidth="1" width="9.140625" level="0" outlineLevel="0"/>
    <col min="215" max="215" customWidth="1" width="9.140625" level="0" outlineLevel="0"/>
    <col min="216" max="216" customWidth="1" width="9.140625" level="0" outlineLevel="0"/>
    <col min="217" max="217" customWidth="1" width="9.140625" level="0" outlineLevel="0"/>
    <col min="218" max="218" customWidth="1" width="9.140625" level="0" outlineLevel="0"/>
    <col min="219" max="219" customWidth="1" width="9.140625" level="0" outlineLevel="0"/>
    <col min="220" max="220" customWidth="1" width="9.140625" level="0" outlineLevel="0"/>
    <col min="221" max="221" customWidth="1" width="9.140625" level="0" outlineLevel="0"/>
    <col min="222" max="222" customWidth="1" width="9.140625" level="0" outlineLevel="0"/>
    <col min="223" max="223" customWidth="1" width="9.140625" level="0" outlineLevel="0"/>
    <col min="224" max="224" customWidth="1" width="9.140625" level="0" outlineLevel="0"/>
    <col min="225" max="225" customWidth="1" width="9.140625" level="0" outlineLevel="0"/>
    <col min="226" max="226" customWidth="1" width="9.140625" level="0" outlineLevel="0"/>
    <col min="227" max="227" customWidth="1" width="9.140625" level="0" outlineLevel="0"/>
    <col min="228" max="228" customWidth="1" width="9.140625" level="0" outlineLevel="0"/>
    <col min="229" max="229" customWidth="1" width="9.140625" level="0" outlineLevel="0"/>
    <col min="230" max="230" customWidth="1" width="9.140625" level="0" outlineLevel="0"/>
    <col min="231" max="231" customWidth="1" width="9.140625" level="0" outlineLevel="0"/>
    <col min="232" max="232" customWidth="1" width="9.140625" level="0" outlineLevel="0"/>
    <col min="233" max="233" customWidth="1" width="9.140625" level="0" outlineLevel="0"/>
    <col min="234" max="234" customWidth="1" width="9.140625" level="0" outlineLevel="0"/>
    <col min="235" max="235" customWidth="1" width="9.140625" level="0" outlineLevel="0"/>
    <col min="236" max="236" customWidth="1" width="9.140625" level="0" outlineLevel="0"/>
    <col min="237" max="237" customWidth="1" width="9.140625" level="0" outlineLevel="0"/>
    <col min="238" max="238" customWidth="1" width="9.140625" level="0" outlineLevel="0"/>
    <col min="239" max="239" customWidth="1" width="9.140625" level="0" outlineLevel="0"/>
    <col min="240" max="240" customWidth="1" width="9.140625" level="0" outlineLevel="0"/>
    <col min="241" max="241" customWidth="1" width="9.140625" level="0" outlineLevel="0"/>
    <col min="242" max="242" customWidth="1" width="9.140625" level="0" outlineLevel="0"/>
    <col min="243" max="243" customWidth="1" width="9.140625" level="0" outlineLevel="0"/>
    <col min="244" max="244" customWidth="1" width="9.140625" level="0" outlineLevel="0"/>
    <col min="245" max="245" customWidth="1" width="9.140625" level="0" outlineLevel="0"/>
    <col min="246" max="246" customWidth="1" width="9.140625" level="0" outlineLevel="0"/>
    <col min="247" max="247" customWidth="1" width="9.140625" level="0" outlineLevel="0"/>
    <col min="248" max="248" customWidth="1" width="9.140625" level="0" outlineLevel="0"/>
    <col min="249" max="249" customWidth="1" width="9.140625" level="0" outlineLevel="0"/>
    <col min="250" max="250" customWidth="1" width="9.140625" level="0" outlineLevel="0"/>
    <col min="251" max="251" customWidth="1" width="9.140625" level="0" outlineLevel="0"/>
    <col min="252" max="252" customWidth="1" width="9.140625" level="0" outlineLevel="0"/>
    <col min="253" max="253" customWidth="1" width="9.140625" level="0" outlineLevel="0"/>
    <col min="254" max="254" customWidth="1" width="9.140625" level="0" outlineLevel="0"/>
    <col min="255" max="255" customWidth="1" width="9.140625" level="0" outlineLevel="0"/>
    <col min="256" max="256" customWidth="1" width="9.140625" level="0" outlineLevel="0"/>
    <col min="257" max="257" customWidth="1" width="9.140625" level="0" outlineLevel="0"/>
  </cols>
  <sheetData>
    <row r="1">
      <c r="A1" t="str">
        <v>Объект капитального строительства:</v>
      </c>
    </row>
    <row r="2" ht="50.1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CONCATENATE('Лист1'!A7,'Лист1'!A8)</f>
        <v>ООО «СМК»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CONCATENATE('Лист1'!A10,'Лист1'!A11)</f>
        <v xml:space="preserve">ООО «СМК»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2.75" customHeight="1">
      <c r="A14" t="str">
        <v>АКТ</v>
      </c>
    </row>
    <row r="15">
      <c r="A15" t="str">
        <v>освидетельствования скрытых работ</v>
      </c>
    </row>
    <row r="16" ht="15" customHeight="1">
      <c r="A16" t="str">
        <v>(проверка труб закрытого перехода методом ГНБ на проходимость)</v>
      </c>
    </row>
    <row r="17">
      <c r="A17" t="str">
        <f>'Лист1'!B79</f>
        <v>№1/7</v>
      </c>
      <c r="L17" s="1">
        <f>'Лист1'!E79</f>
        <v>45961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CONCATENATE('Лист1'!A14,'Лист1'!A15)</f>
        <v>Заместитель начальника УКС ЮВО МКС филиал ПАО «РОССЕТИ МОСКОВСКИЙ РЕГИОН» Гусев П.А.ИНРС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Представитель лица, осуществляющего строительство, реконструкцию, капитальный ремонт: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 xml:space="preserve">Представитель лица, осуществляющего строительство, реконструкцию, капитальный ремонт по вопросам строительного  контроля: 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39.95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 (в случае осуществления авторского надзора лицом, не являющимся разработчиком проектной документации), полное и (или) сокращенное наименование, ОГРН, ИНН саморегулируемой организации, членом которой является указанное юридическое лицо,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v>
      </c>
    </row>
    <row r="31" ht="45.75" customHeight="1">
      <c r="A31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v>
      </c>
    </row>
    <row r="32" ht="45" customHeight="1">
      <c r="A32" t="str">
        <f>CONCATENATE('Лист1'!A26,'Лист1'!A27,'Лист1'!A29)</f>
        <v>Главный инженер ООО «СКМ-ГРУПП» Картавченко А.Л.,Приказ №25-11-03-1 от 03.11.2023 г.ОГРН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4.95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(должность, фамилия, инициалы, реквизиты документа о представительстве)</v>
      </c>
    </row>
    <row r="37" ht="15.75" customHeight="1">
      <c r="A37" t="str">
        <v xml:space="preserve">произвели осмотр работ, выполненных: </v>
      </c>
    </row>
    <row r="38" ht="15" customHeight="1">
      <c r="A38" t="str">
        <f>'Лист1'!C69</f>
        <v xml:space="preserve"> ООО «СКМ-ГРУПП»</v>
      </c>
    </row>
    <row r="39">
      <c r="A39" t="str">
        <v>(наименование лица, осуществляющего строительство, выполнившего работы)</v>
      </c>
    </row>
    <row r="40">
      <c r="A40" t="str">
        <v>и составили настоящий акт о нижеследующем:</v>
      </c>
    </row>
    <row r="41" ht="15.75" customHeight="1">
      <c r="A41" t="str">
        <v xml:space="preserve">1. К освидетельствованию представлены следующие работы:: </v>
      </c>
    </row>
    <row r="42" ht="45" customHeight="1">
      <c r="A42" t="str">
        <f>CONCATENATE("Проверка проходимости труб закрытого перехода ",'Лист1'!C49," состоящего из ",'Лист1'!C56," методом протаскивания металлического шара (калибра) диаметром ",'Лист1'!C55-30," мм в каждый трубоканал закрытого перехода,", " расположенного по адресу:"," ",'Лист1'!C48,)</f>
        <v>Проверка проходимости труб закрытого перехода №1  состоящего из 3(трёх) труб (ЭЛЕКТРОПАЙП ОС РС 160х8.9 SN16-N F90 T120) методом протаскивания металлического шара (калибра) диаметром 130 мм в каждый трубоканал закрытого перехода, расположенного по адресу: г. Москва, Салтыковская ул. д.5А</v>
      </c>
    </row>
    <row r="43">
      <c r="A43" t="str">
        <v>(наименование скрытых работ)</v>
      </c>
    </row>
    <row r="44">
      <c r="A44" t="str">
        <v>2. Работы выполнены в соответствии с:</v>
      </c>
    </row>
    <row r="45" ht="60" customHeight="1">
      <c r="A45" t="str">
        <f>CONCATENATE("Проектом:"," ",'Лист1'!C67," шифр:"," ",'Лист1'!C68," Тиутул:"," ",'Лист1'!A2,)</f>
        <v xml:space="preserve">Проектом: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6">
      <c r="A46" t="str">
        <v>(номер, другие реквизиты чертежа, наименование проектной или рабочей документации, сведения о лицах, осуществляющих подготовку, раздела проектной и/или рабочей документации)</v>
      </c>
    </row>
    <row r="47">
      <c r="A47" t="str">
        <v>3. При выполнении работ применены:</v>
      </c>
    </row>
    <row r="48" ht="15" customHeight="1">
      <c r="A48" t="str">
        <v>1. Шнур капроновый ПА6  , 2.Металлический шар Ø130 мм.</v>
      </c>
    </row>
    <row r="49">
      <c r="A49" t="str">
        <v>(наименование строительных материалов(изделий) со ссылкой на сертификаты или другие документы, подтверждающие качество)</v>
      </c>
    </row>
    <row r="50" ht="15" customHeight="1">
      <c r="A50" t="str">
        <v>4.    Предъявлены документы, подтверждающие соответствие работ предъявляемым к ним требованиям:</v>
      </c>
    </row>
    <row r="51" ht="15" customHeight="1">
      <c r="A51" t="str">
        <f>CONCATENATE("1. Протокол бурения скважины закрытого перехода "," ",'Лист1'!C49," 2. Исполнительный чертеж закрытого перехода"," ", 'Лист1'!C49,)</f>
        <v xml:space="preserve">1. Протокол бурения скважины закрытого перехода  №1  2. Исполнительный чертеж закрытого перехода №1 </v>
      </c>
    </row>
    <row r="52">
      <c r="A52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3">
      <c r="A53" t="str">
        <v xml:space="preserve">5. Даты: </v>
      </c>
      <c r="B53" t="str">
        <v>начало работ:</v>
      </c>
      <c r="D53" s="1">
        <f>'Лист1'!C79</f>
        <v>45961</v>
      </c>
    </row>
    <row r="54">
      <c r="B54" t="str">
        <v>окончание работ:</v>
      </c>
      <c r="D54" s="1">
        <f>'Лист1'!E79</f>
        <v>45961</v>
      </c>
    </row>
    <row r="55">
      <c r="A55" t="str">
        <v xml:space="preserve">6. Работы выполнены в соответствии с: </v>
      </c>
    </row>
    <row r="56" ht="45" customHeight="1">
      <c r="A56" t="str">
        <f>CONCATENATE("Проектом:"," ",'Лист1'!C67," шифр:"," ",'Лист1'!C68,"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бурением",)</f>
        <v>Проектом: ООО «СМК»  шифр: 345716/ПС-25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</v>
      </c>
    </row>
    <row r="57">
      <c r="A57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8">
      <c r="A58" t="str">
        <v xml:space="preserve">7. Разрешается производство последующих работ по: </v>
      </c>
    </row>
    <row r="59">
      <c r="A59" t="str">
        <v>Прокладка кабельной линии в закрытый переход</v>
      </c>
    </row>
    <row r="60">
      <c r="A60" t="str">
        <v>(наименование работ, конструкций, участков сетей инженерно-технического обеспечения)</v>
      </c>
    </row>
    <row r="61">
      <c r="A61" t="str">
        <v xml:space="preserve">Дополнительные сведения: </v>
      </c>
      <c r="D61" t="str">
        <v>отсутствуют</v>
      </c>
    </row>
    <row r="62">
      <c r="A62" t="str">
        <f>CONCATENATE("Акт составлен в"," ",'Лист1'!K72," экземплярах",)</f>
        <v>Акт составлен в 2 экземплярах</v>
      </c>
    </row>
    <row r="63"/>
    <row r="64">
      <c r="A64" t="str">
        <v xml:space="preserve">Приложения: </v>
      </c>
    </row>
    <row r="65">
      <c r="A65" t="str">
        <v>1. В соответствии с п.3 и п.4</v>
      </c>
    </row>
    <row r="66">
      <c r="A66">
        <v>2</v>
      </c>
    </row>
    <row r="67"/>
    <row r="68" ht="30" customHeight="1">
      <c r="A68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9" ht="15" customHeight="1">
      <c r="A69" t="str">
        <f>'Лист1'!B35</f>
        <v>Гусев П.А.</v>
      </c>
    </row>
    <row r="70">
      <c r="A70" t="str">
        <v>(фамилия, инициалы, подпись)</v>
      </c>
    </row>
    <row r="71" ht="15" customHeight="1">
      <c r="A71" t="str">
        <v>Представитель лица, осуществляющего строительство, реконструкцию, капитальный ремонт:</v>
      </c>
    </row>
    <row r="72" ht="15" customHeight="1">
      <c r="A72" t="str">
        <f>'Лист1'!B39</f>
        <v>Тишков В.А.</v>
      </c>
    </row>
    <row r="73">
      <c r="A73" t="str">
        <v>(фамилия, инициалы, подпись)</v>
      </c>
    </row>
    <row r="74" ht="15" customHeight="1">
      <c r="A74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75" ht="15" customHeight="1">
      <c r="A75" t="str">
        <f>'Лист1'!B37</f>
        <v>Прошин Н.Н.</v>
      </c>
    </row>
    <row r="76">
      <c r="A76" t="str">
        <v>(фамилия, инициалы, подпись)</v>
      </c>
    </row>
    <row r="77" ht="45" customHeight="1">
      <c r="A77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8" ht="15" customHeight="1">
      <c r="A78" t="str">
        <f>'Лист1'!B41</f>
        <v>Сергеев А.А.</v>
      </c>
    </row>
    <row r="79">
      <c r="A79" t="str">
        <v>(фамилия, инициалы, подпись)</v>
      </c>
    </row>
    <row r="80" ht="30" customHeight="1">
      <c r="A80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лицами):</v>
      </c>
    </row>
    <row r="81" ht="15" customHeight="1">
      <c r="A81" t="str">
        <f>'Лист1'!B43</f>
        <v>Картавченко А.Л.</v>
      </c>
    </row>
    <row r="82">
      <c r="A82" t="str">
        <v>(фамилия, инициалы, подпись)</v>
      </c>
    </row>
    <row r="83">
      <c r="A83" t="str">
        <v>Представители иных лиц технического заказчика:</v>
      </c>
    </row>
    <row r="84" ht="15" customHeight="1">
      <c r="A84" t="str">
        <f>'Лист1'!B45</f>
        <v>Рящиков М.Ю.</v>
      </c>
    </row>
    <row r="85">
      <c r="A85" t="str">
        <v>(фамилия, инициалы, подпись)</v>
      </c>
    </row>
  </sheetData>
  <mergeCells count="58">
    <mergeCell ref="A79:M79"/>
    <mergeCell ref="A80:M80"/>
    <mergeCell ref="A82:M82"/>
    <mergeCell ref="A85:M85"/>
    <mergeCell ref="A70:M70"/>
    <mergeCell ref="A71:M71"/>
    <mergeCell ref="A73:M73"/>
    <mergeCell ref="A74:M74"/>
    <mergeCell ref="A76:M76"/>
    <mergeCell ref="A77:M77"/>
    <mergeCell ref="A57:M57"/>
    <mergeCell ref="A59:M59"/>
    <mergeCell ref="A60:M60"/>
    <mergeCell ref="D61:E61"/>
    <mergeCell ref="A66:B66"/>
    <mergeCell ref="A68:M68"/>
    <mergeCell ref="A52:M52"/>
    <mergeCell ref="B53:C53"/>
    <mergeCell ref="D53:E53"/>
    <mergeCell ref="B54:C54"/>
    <mergeCell ref="D54:E54"/>
    <mergeCell ref="A56:M56"/>
    <mergeCell ref="A43:M43"/>
    <mergeCell ref="A45:M45"/>
    <mergeCell ref="A46:M46"/>
    <mergeCell ref="A48:M48"/>
    <mergeCell ref="A49:M49"/>
    <mergeCell ref="A51:M51"/>
    <mergeCell ref="A33:M33"/>
    <mergeCell ref="A35:M35"/>
    <mergeCell ref="A36:M36"/>
    <mergeCell ref="A38:M38"/>
    <mergeCell ref="A39:M39"/>
    <mergeCell ref="A42:M42"/>
    <mergeCell ref="A27:M27"/>
    <mergeCell ref="A28:M28"/>
    <mergeCell ref="A29:M29"/>
    <mergeCell ref="A30:M30"/>
    <mergeCell ref="A31:M31"/>
    <mergeCell ref="A32:M32"/>
    <mergeCell ref="A20:M20"/>
    <mergeCell ref="A21:M21"/>
    <mergeCell ref="A23:M23"/>
    <mergeCell ref="A24:M24"/>
    <mergeCell ref="A25:M25"/>
    <mergeCell ref="A26:M26"/>
    <mergeCell ref="A12:M12"/>
    <mergeCell ref="A14:M14"/>
    <mergeCell ref="A15:M15"/>
    <mergeCell ref="A16:M16"/>
    <mergeCell ref="L17:M17"/>
    <mergeCell ref="A19:M19"/>
    <mergeCell ref="A2:M2"/>
    <mergeCell ref="A5:M5"/>
    <mergeCell ref="A6:M6"/>
    <mergeCell ref="A8:M8"/>
    <mergeCell ref="A9:M9"/>
    <mergeCell ref="A11:M11"/>
  </mergeCells>
  <pageMargins left="0.23622047244094488" right="0.23622047244094488" top="0.2925" bottom="0.975" header="0.31496062992125984" footer="0.31496062992125984"/>
  <ignoredErrors>
    <ignoredError numberStoredAsText="1" sqref="A1:M8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85"/>
  <sheetViews>
    <sheetView workbookViewId="0" rightToLeft="0"/>
  </sheetViews>
  <cols>
    <col min="1" max="1" customWidth="1" width="9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</cols>
  <sheetData>
    <row r="1">
      <c r="A1" t="str">
        <v>Объект капитального строительства:</v>
      </c>
    </row>
    <row r="2" ht="50.1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CONCATENATE('Лист1'!A7,'Лист1'!A8)</f>
        <v>ООО «СМК»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CONCATENATE('Лист1'!A10,'Лист1'!A11)</f>
        <v xml:space="preserve">ООО «СМК»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2.75" customHeight="1">
      <c r="A14" t="str">
        <v>АКТ</v>
      </c>
    </row>
    <row r="15">
      <c r="A15" t="str">
        <v>освидетельствования скрытых работ</v>
      </c>
    </row>
    <row r="16">
      <c r="A16" t="str">
        <v>(герметизация концов труб закрытого перехода)</v>
      </c>
    </row>
    <row r="17">
      <c r="A17" s="1" t="str">
        <f>'Лист1'!B80</f>
        <v>№1/8</v>
      </c>
      <c r="L17" s="1">
        <f>'Лист1'!E80</f>
        <v>45961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CONCATENATE('Лист1'!A14,'Лист1'!A15)</f>
        <v>Заместитель начальника УКС ЮВО МКС филиал ПАО «РОССЕТИ МОСКОВСКИЙ РЕГИОН» Гусев П.А.ИНРС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Представитель лица, осуществляющего строительство, реконструкцию, капитальный ремонт: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 xml:space="preserve">Представитель лица, осуществляющего строительство, реконструкцию, капитальный ремонт по вопросам строительного  контроля: 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39.95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 (в случае осуществления авторского надзора лицом, не являющимся разработчиком проектной документации), полное и (или) сокращенное наименование, ОГРН, ИНН саморегулируемой организации, членом которой является указанное юридическое лицо,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v>
      </c>
    </row>
    <row r="31" ht="30" customHeight="1">
      <c r="A31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v>
      </c>
    </row>
    <row r="32" ht="45" customHeight="1">
      <c r="A32" t="str">
        <f>CONCATENATE('Лист1'!A26,'Лист1'!A27,'Лист1'!A29)</f>
        <v>Главный инженер ООО «СКМ-ГРУПП» Картавченко А.Л.,Приказ №25-11-03-1 от 03.11.2023 г.ОГРН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4.95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(должность, фамилия, инициалы, реквизиты документа о представительстве)</v>
      </c>
    </row>
    <row r="37" ht="15.75" customHeight="1">
      <c r="A37" t="str">
        <v xml:space="preserve">произвели осмотр работ, выполненных: </v>
      </c>
    </row>
    <row r="38" ht="15" customHeight="1">
      <c r="A38" t="str">
        <f>'Лист1'!C69</f>
        <v xml:space="preserve"> ООО «СКМ-ГРУПП»</v>
      </c>
    </row>
    <row r="39">
      <c r="A39" t="str">
        <v>(наименование лица, осуществляющего строительство, выполнившего работы)</v>
      </c>
    </row>
    <row r="40">
      <c r="A40" t="str">
        <v>и составили настоящий акт о нижеследующем:</v>
      </c>
    </row>
    <row r="41" ht="15.75" customHeight="1">
      <c r="A41" t="str">
        <v xml:space="preserve">1. К освидетельствованию представлены следующие работы:: </v>
      </c>
    </row>
    <row r="42" ht="30" customHeight="1">
      <c r="A42" t="str">
        <f>CONCATENATE("Герметизация концов труб выполненного закрытого перехода закрытого перехода ",,'Лист1'!C49," методом ГНБ  по адресу: ",,'Лист1'!C48,"")</f>
        <v>Герметизация концов труб выполненного закрытого перехода закрытого перехода №1  методом ГНБ  по адресу: г. Москва, Салтыковская ул. д.5А</v>
      </c>
    </row>
    <row r="43">
      <c r="A43" t="str">
        <v>(наименование скрытых работ)</v>
      </c>
    </row>
    <row r="44">
      <c r="A44" t="str">
        <v>2. Работы выполнены в соответствии с:</v>
      </c>
    </row>
    <row r="45" ht="60" customHeight="1">
      <c r="A45" t="str">
        <f>CONCATENATE("Проектом:"," ",'Лист1'!C67," шифр:"," ", 'Лист1'!C68," Тиутул:"," ",'Лист1'!A2,)</f>
        <v xml:space="preserve">Проектом: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6">
      <c r="A46" t="str">
        <v>(номер, другие реквизиты чертежа, наименование проектной или рабочей документации, сведения о лицах, осуществляющих подготовку, раздела проектной и/или рабочей документации)</v>
      </c>
    </row>
    <row r="47">
      <c r="A47" t="str">
        <v>3. При выполнении работ применены:</v>
      </c>
    </row>
    <row r="48" ht="15" customHeight="1">
      <c r="A48" t="str">
        <f>CONCATENATE("1."," ",'Лист1'!C65,)</f>
        <v xml:space="preserve">1. Заглушки,  УКПТ 175/55 </v>
      </c>
    </row>
    <row r="49">
      <c r="A49" t="str">
        <v>(наименование строительных материалов(изделий) со ссылкой на сертификаты или другие документы, подтверждающие качество)</v>
      </c>
    </row>
    <row r="50">
      <c r="A50" t="str">
        <v>4.    Предъявлены документы, подтверждающие соответствие работ предъявляемым к ним требованиям:</v>
      </c>
    </row>
    <row r="51" ht="15" customHeight="1">
      <c r="A51" t="str">
        <f>CONCATENATE("1. Каталог координат точек закрытого перехода "," ",'Лист1'!C49," 2. Исполнительный чертеж закрытого перехода"," ", 'Лист1'!C49,)</f>
        <v xml:space="preserve">1. Каталог координат точек закрытого перехода  №1  2. Исполнительный чертеж закрытого перехода №1 </v>
      </c>
    </row>
    <row r="52">
      <c r="A52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3">
      <c r="A53" t="str">
        <v xml:space="preserve">5. Даты: </v>
      </c>
      <c r="B53" t="str">
        <v>начало работ:</v>
      </c>
      <c r="D53" s="1">
        <f>'Лист1'!C80</f>
        <v>45961</v>
      </c>
    </row>
    <row r="54">
      <c r="B54" t="str">
        <v>окончание работ:</v>
      </c>
      <c r="D54" s="1">
        <f>'Лист1'!E80</f>
        <v>45961</v>
      </c>
    </row>
    <row r="55">
      <c r="A55" t="str">
        <v xml:space="preserve">6. Работы выполнены в соответствии с: </v>
      </c>
    </row>
    <row r="56" ht="45" customHeight="1">
      <c r="A56" t="str">
        <f>CONCATENATE("Проектом:"," ",'Лист1'!C67," шифр:"," ", 'Лист1'!C68,"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бурением",)</f>
        <v>Проектом: ООО «СМК»  шифр: 345716/ПС-25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</v>
      </c>
    </row>
    <row r="57">
      <c r="A57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8">
      <c r="A58" t="str">
        <v xml:space="preserve">7. Разрешается производство последующих работ по: </v>
      </c>
    </row>
    <row r="59" ht="15" customHeight="1">
      <c r="A59" t="str">
        <v>Обратная засыпка приемного и рабочего котлованов.</v>
      </c>
    </row>
    <row r="60">
      <c r="A60" t="str">
        <v>(наименование работ, конструкций, участков сетей инженерно-технического обеспечения)</v>
      </c>
    </row>
    <row r="61">
      <c r="A61" t="str">
        <v xml:space="preserve">Дополнительные сведения: </v>
      </c>
      <c r="D61" t="str">
        <v>отсутствуют</v>
      </c>
    </row>
    <row r="62">
      <c r="A62" t="str">
        <f>CONCATENATE("Акт составлен в"," ",'Лист1'!K72," экземплярах",)</f>
        <v>Акт составлен в 2 экземплярах</v>
      </c>
    </row>
    <row r="63"/>
    <row r="64">
      <c r="A64" t="str">
        <v xml:space="preserve">Приложения: </v>
      </c>
    </row>
    <row r="65">
      <c r="A65" t="str">
        <v>1. В соответствии с п.3 и п.4</v>
      </c>
    </row>
    <row r="66">
      <c r="A66">
        <v>2</v>
      </c>
    </row>
    <row r="67"/>
    <row r="68" ht="30" customHeight="1">
      <c r="A68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9" ht="15" customHeight="1">
      <c r="A69" t="str">
        <f>'Лист1'!B35</f>
        <v>Гусев П.А.</v>
      </c>
    </row>
    <row r="70">
      <c r="A70" t="str">
        <v>(фамилия, инициалы, подпись)</v>
      </c>
    </row>
    <row r="71" ht="15" customHeight="1">
      <c r="A71" t="str">
        <v>Представитель лица, осуществляющего строительство, реконструкцию, капитальный ремонт:</v>
      </c>
    </row>
    <row r="72" ht="15" customHeight="1">
      <c r="A72" t="str">
        <f>'Лист1'!B39</f>
        <v>Тишков В.А.</v>
      </c>
    </row>
    <row r="73">
      <c r="A73" t="str">
        <v>(фамилия, инициалы, подпись)</v>
      </c>
    </row>
    <row r="74" ht="15" customHeight="1">
      <c r="A74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75" ht="15" customHeight="1">
      <c r="A75" t="str">
        <f>'Лист1'!B37</f>
        <v>Прошин Н.Н.</v>
      </c>
    </row>
    <row r="76">
      <c r="A76" t="str">
        <v>(фамилия, инициалы, подпись)</v>
      </c>
    </row>
    <row r="77" ht="45" customHeight="1">
      <c r="A77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8" ht="15" customHeight="1">
      <c r="A78" t="str">
        <f>'Лист1'!B41</f>
        <v>Сергеев А.А.</v>
      </c>
    </row>
    <row r="79">
      <c r="A79" t="str">
        <v>(фамилия, инициалы, подпись)</v>
      </c>
    </row>
    <row r="80" ht="30" customHeight="1">
      <c r="A80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лицами):</v>
      </c>
    </row>
    <row r="81" ht="15" customHeight="1">
      <c r="A81" t="str">
        <f>'Лист1'!B43</f>
        <v>Картавченко А.Л.</v>
      </c>
    </row>
    <row r="82">
      <c r="A82" t="str">
        <v>(фамилия, инициалы, подпись)</v>
      </c>
    </row>
    <row r="83">
      <c r="A83" t="str">
        <v>Представители иных лиц технического заказчика:</v>
      </c>
    </row>
    <row r="84" ht="15" customHeight="1">
      <c r="A84" t="str">
        <f>'Лист1'!B45</f>
        <v>Рящиков М.Ю.</v>
      </c>
    </row>
    <row r="85">
      <c r="A85" t="str">
        <v>(фамилия, инициалы, подпись)</v>
      </c>
    </row>
  </sheetData>
  <mergeCells count="58">
    <mergeCell ref="A85:M85"/>
    <mergeCell ref="A59:M59"/>
    <mergeCell ref="A60:M60"/>
    <mergeCell ref="D61:E61"/>
    <mergeCell ref="A66:B66"/>
    <mergeCell ref="A70:M70"/>
    <mergeCell ref="A73:M73"/>
    <mergeCell ref="A80:M80"/>
    <mergeCell ref="A71:M71"/>
    <mergeCell ref="A57:M57"/>
    <mergeCell ref="A76:M76"/>
    <mergeCell ref="A79:M79"/>
    <mergeCell ref="A77:M77"/>
    <mergeCell ref="A68:M68"/>
    <mergeCell ref="A82:M82"/>
    <mergeCell ref="A74:M74"/>
    <mergeCell ref="A49:M49"/>
    <mergeCell ref="A51:M51"/>
    <mergeCell ref="A52:M52"/>
    <mergeCell ref="B53:C53"/>
    <mergeCell ref="B54:C54"/>
    <mergeCell ref="A56:M56"/>
    <mergeCell ref="D53:E53"/>
    <mergeCell ref="D54:E54"/>
    <mergeCell ref="A39:M39"/>
    <mergeCell ref="A42:M42"/>
    <mergeCell ref="A43:M43"/>
    <mergeCell ref="A45:M45"/>
    <mergeCell ref="A46:M46"/>
    <mergeCell ref="A48:M48"/>
    <mergeCell ref="A32:M32"/>
    <mergeCell ref="A33:M33"/>
    <mergeCell ref="A31:M31"/>
    <mergeCell ref="A35:M35"/>
    <mergeCell ref="A36:M36"/>
    <mergeCell ref="A38:M38"/>
    <mergeCell ref="A29:M29"/>
    <mergeCell ref="A30:M30"/>
    <mergeCell ref="A28:M28"/>
    <mergeCell ref="A25:M25"/>
    <mergeCell ref="A23:M23"/>
    <mergeCell ref="A24:M24"/>
    <mergeCell ref="L17:M17"/>
    <mergeCell ref="A20:M20"/>
    <mergeCell ref="A21:M21"/>
    <mergeCell ref="A16:M16"/>
    <mergeCell ref="A19:M19"/>
    <mergeCell ref="A27:M27"/>
    <mergeCell ref="A26:M26"/>
    <mergeCell ref="A12:M12"/>
    <mergeCell ref="A14:M14"/>
    <mergeCell ref="A15:M15"/>
    <mergeCell ref="A2:M2"/>
    <mergeCell ref="A5:M5"/>
    <mergeCell ref="A6:M6"/>
    <mergeCell ref="A8:M8"/>
    <mergeCell ref="A9:M9"/>
    <mergeCell ref="A11:M11"/>
  </mergeCells>
  <pageMargins left="0.23622047244094488" right="0.23622047244094488" top="0.7480314960629921" bottom="0.7480314960629921" header="0.31496062992125984" footer="0.31496062992125984"/>
  <ignoredErrors>
    <ignoredError numberStoredAsText="1" sqref="A1:M8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85"/>
  <sheetViews>
    <sheetView workbookViewId="0" rightToLeft="0"/>
  </sheetViews>
  <cols>
    <col min="1" max="1" customWidth="1" width="10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</cols>
  <sheetData>
    <row r="1">
      <c r="A1" t="str">
        <v>Объект капитального строительства:</v>
      </c>
    </row>
    <row r="2" ht="50.1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CONCATENATE('Лист1'!A7,'Лист1'!A8)</f>
        <v>ООО «СМК»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CONCATENATE('Лист1'!A10,'Лист1'!A11)</f>
        <v xml:space="preserve">ООО «СМК»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5" customHeight="1">
      <c r="A14" t="str">
        <v>АКТ</v>
      </c>
    </row>
    <row r="15" ht="15" customHeight="1">
      <c r="A15" t="str">
        <v>освидетельствования скрытых работ</v>
      </c>
    </row>
    <row r="16">
      <c r="A16" t="str">
        <v>(обратная засыпка приемного и рабочего котлованов)</v>
      </c>
    </row>
    <row r="17">
      <c r="A17" t="str">
        <f>'Лист1'!B81</f>
        <v>№1/9</v>
      </c>
      <c r="L17" s="1">
        <f>'Лист1'!E81</f>
        <v>45961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CONCATENATE('Лист1'!A14,'Лист1'!A15)</f>
        <v>Заместитель начальника УКС ЮВО МКС филиал ПАО «РОССЕТИ МОСКОВСКИЙ РЕГИОН» Гусев П.А.ИНРС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Представитель лица, осуществляющего строительство, реконструкцию, капитальный ремонт: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 xml:space="preserve">Представитель лица, осуществляющего строительство, реконструкцию, капитальный ремонт по вопросам строительного  контроля: 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39.95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 (в случае осуществления авторского надзора лицом, не являющимся разработчиком проектной документации), полное и (или) сокращенное наименование, ОГРН, ИНН саморегулируемой организации, членом которой является указанное юридическое лицо,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v>
      </c>
    </row>
    <row r="31" ht="30" customHeight="1">
      <c r="A31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v>
      </c>
    </row>
    <row r="32" ht="45" customHeight="1">
      <c r="A32" t="str">
        <f>CONCATENATE('Лист1'!A26,'Лист1'!A27,'Лист1'!A29)</f>
        <v>Главный инженер ООО «СКМ-ГРУПП» Картавченко А.Л.,Приказ №25-11-03-1 от 03.11.2023 г.ОГРН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4.95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(должность, фамилия, инициалы, реквизиты документа о представительстве)</v>
      </c>
    </row>
    <row r="37" ht="15.75" customHeight="1">
      <c r="A37" t="str">
        <v xml:space="preserve">произвели осмотр работ, выполненных: </v>
      </c>
    </row>
    <row r="38" ht="15" customHeight="1">
      <c r="A38" t="str">
        <f>'Лист1'!C69</f>
        <v xml:space="preserve"> ООО «СКМ-ГРУПП»</v>
      </c>
    </row>
    <row r="39">
      <c r="A39" t="str">
        <v>(наименование лица, осуществляющего строительство, выполнившего работы)</v>
      </c>
    </row>
    <row r="40">
      <c r="A40" t="str">
        <v>и составили настоящий акт о нижеследующем:</v>
      </c>
    </row>
    <row r="41" ht="15.75" customHeight="1">
      <c r="A41" t="str">
        <v xml:space="preserve">1. К освидетельствованию представлены следующие работы:: </v>
      </c>
    </row>
    <row r="42" ht="30" customHeight="1">
      <c r="A42" t="str">
        <f>CONCATENATE("Обратная засыпка  приемного и рабочего котлованов закрытого перехода ",'Лист1'!C49," методом ГНБ по адресу: ",'Лист1'!C48,"")</f>
        <v>Обратная засыпка  приемного и рабочего котлованов закрытого перехода №1  методом ГНБ по адресу: г. Москва, Салтыковская ул. д.5А</v>
      </c>
    </row>
    <row r="43">
      <c r="A43" t="str">
        <v>(наименование скрытых работ)</v>
      </c>
    </row>
    <row r="44">
      <c r="A44" t="str">
        <v>2. Работы выполнены в соответствии с:</v>
      </c>
    </row>
    <row r="45" ht="60" customHeight="1">
      <c r="A45" t="str">
        <f>CONCATENATE("Проектом:"," ",'Лист1'!C67," шифр:"," ", 'Лист1'!C68," Тиутул:"," ",'Лист1'!A2,)</f>
        <v xml:space="preserve">Проектом: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6">
      <c r="A46" t="str">
        <v>(номер, другие реквизиты чертежа, наименование проектной или рабочей документации, сведения о лицах, осуществляющих подготовку, раздела проектной и/или рабочей документации)</v>
      </c>
    </row>
    <row r="47">
      <c r="A47" t="str">
        <v>3. При выполнении работ применены:</v>
      </c>
    </row>
    <row r="48" ht="15" customHeight="1"/>
    <row r="49">
      <c r="A49" t="str">
        <v>(наименование строительных материалов(изделий) со ссылкой на сертификаты или другие документы, подтверждающие качество)</v>
      </c>
    </row>
    <row r="50">
      <c r="A50" t="str">
        <v>4.Предъявлены документы, подтверждающие соответствие работ предъявляемым к ним требованиям:</v>
      </c>
    </row>
    <row r="51" ht="15" customHeight="1"/>
    <row r="52">
      <c r="A52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3">
      <c r="A53" t="str">
        <v xml:space="preserve">5. Даты: </v>
      </c>
      <c r="B53" t="str">
        <v>начало работ:</v>
      </c>
      <c r="D53" s="1">
        <f>'Лист1'!C81</f>
        <v>45961</v>
      </c>
    </row>
    <row r="54">
      <c r="B54" t="str">
        <v>окончание работ:</v>
      </c>
      <c r="D54" s="1">
        <f>'Лист1'!E81</f>
        <v>45961</v>
      </c>
    </row>
    <row r="55">
      <c r="A55" t="str">
        <v xml:space="preserve">6. Работы выполнены в соответствии с: </v>
      </c>
    </row>
    <row r="56" ht="30" customHeight="1">
      <c r="A56" t="str">
        <f>CONCATENATE("Проектом:"," ",'Лист1'!C67," шифр:"," ", 'Лист1'!C68,"Правила подготовки и производства земляных работ, обустройства и содержания строительных площадок в г. Москва, ПП Москвы 299-ПП от 19.05.2015г.",)</f>
        <v>Проектом: ООО «СМК»  шифр: 345716/ПС-25Правила подготовки и производства земляных работ, обустройства и содержания строительных площадок в г. Москва, ПП Москвы 299-ПП от 19.05.2015г.</v>
      </c>
    </row>
    <row r="57">
      <c r="A57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8">
      <c r="A58" t="str">
        <v xml:space="preserve">7. Разрешается производство последующих работ по: </v>
      </c>
    </row>
    <row r="59"/>
    <row r="60">
      <c r="A60" t="str">
        <v>(наименование работ, конструкций, участков сетей инженерно-технического обеспечения)</v>
      </c>
    </row>
    <row r="61">
      <c r="A61" t="str">
        <v xml:space="preserve">Дополнительные сведения: </v>
      </c>
      <c r="D61" t="str">
        <v>отсутствуют</v>
      </c>
    </row>
    <row r="62">
      <c r="A62" t="str">
        <f>CONCATENATE("Акт составлен в"," ",'Лист1'!K72," экземплярах",)</f>
        <v>Акт составлен в 2 экземплярах</v>
      </c>
    </row>
    <row r="63"/>
    <row r="64">
      <c r="A64" t="str">
        <v xml:space="preserve">Приложения: </v>
      </c>
    </row>
    <row r="65">
      <c r="A65" t="str">
        <v>В соответствии с п.3,4</v>
      </c>
    </row>
    <row r="66"/>
    <row r="67"/>
    <row r="68" ht="30" customHeight="1">
      <c r="A68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9" ht="15" customHeight="1">
      <c r="A69" t="str">
        <f>'Лист1'!B35</f>
        <v>Гусев П.А.</v>
      </c>
    </row>
    <row r="70">
      <c r="A70" t="str">
        <v>(фамилия, инициалы, подпись)</v>
      </c>
    </row>
    <row r="71" ht="15" customHeight="1">
      <c r="A71" t="str">
        <v>Представитель лица, осуществляющего строительство, реконструкцию, капитальный ремонт:</v>
      </c>
    </row>
    <row r="72" ht="15" customHeight="1">
      <c r="A72" t="str">
        <f>'Лист1'!B39</f>
        <v>Тишков В.А.</v>
      </c>
    </row>
    <row r="73">
      <c r="A73" t="str">
        <v>(фамилия, инициалы, подпись)</v>
      </c>
    </row>
    <row r="74" ht="15" customHeight="1">
      <c r="A74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75" ht="15" customHeight="1">
      <c r="A75" t="str">
        <f>'Лист1'!B37</f>
        <v>Прошин Н.Н.</v>
      </c>
    </row>
    <row r="76">
      <c r="A76" t="str">
        <v>(фамилия, инициалы, подпись)</v>
      </c>
    </row>
    <row r="77" ht="45" customHeight="1">
      <c r="A77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8" ht="15" customHeight="1">
      <c r="A78" t="str">
        <f>'Лист1'!B41</f>
        <v>Сергеев А.А.</v>
      </c>
    </row>
    <row r="79">
      <c r="A79" t="str">
        <v>(фамилия, инициалы, подпись)</v>
      </c>
    </row>
    <row r="80" ht="30" customHeight="1">
      <c r="A80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лицами):</v>
      </c>
    </row>
    <row r="81" ht="15" customHeight="1">
      <c r="A81" t="str">
        <f>'Лист1'!B43</f>
        <v>Картавченко А.Л.</v>
      </c>
    </row>
    <row r="82">
      <c r="A82" t="str">
        <v>(фамилия, инициалы, подпись)</v>
      </c>
    </row>
    <row r="83">
      <c r="A83" t="str">
        <v>Представители иных лиц технического заказчика:</v>
      </c>
    </row>
    <row r="84" ht="15" customHeight="1">
      <c r="A84" t="str">
        <f>'Лист1'!B45</f>
        <v>Рящиков М.Ю.</v>
      </c>
    </row>
    <row r="85">
      <c r="A85" t="str">
        <v>(фамилия, инициалы, подпись)</v>
      </c>
    </row>
  </sheetData>
  <mergeCells count="58">
    <mergeCell ref="A79:M79"/>
    <mergeCell ref="A80:M80"/>
    <mergeCell ref="A82:M82"/>
    <mergeCell ref="A85:M85"/>
    <mergeCell ref="A70:M70"/>
    <mergeCell ref="A71:M71"/>
    <mergeCell ref="A73:M73"/>
    <mergeCell ref="A74:M74"/>
    <mergeCell ref="A76:M76"/>
    <mergeCell ref="A77:M77"/>
    <mergeCell ref="A57:M57"/>
    <mergeCell ref="A59:M59"/>
    <mergeCell ref="A60:M60"/>
    <mergeCell ref="D61:E61"/>
    <mergeCell ref="A66:B66"/>
    <mergeCell ref="A68:M68"/>
    <mergeCell ref="A52:M52"/>
    <mergeCell ref="B53:C53"/>
    <mergeCell ref="D53:E53"/>
    <mergeCell ref="B54:C54"/>
    <mergeCell ref="D54:E54"/>
    <mergeCell ref="A56:M56"/>
    <mergeCell ref="A43:M43"/>
    <mergeCell ref="A45:M45"/>
    <mergeCell ref="A46:M46"/>
    <mergeCell ref="A48:M48"/>
    <mergeCell ref="A49:M49"/>
    <mergeCell ref="A51:M51"/>
    <mergeCell ref="A33:M33"/>
    <mergeCell ref="A35:M35"/>
    <mergeCell ref="A36:M36"/>
    <mergeCell ref="A38:M38"/>
    <mergeCell ref="A39:M39"/>
    <mergeCell ref="A42:M42"/>
    <mergeCell ref="A27:M27"/>
    <mergeCell ref="A28:M28"/>
    <mergeCell ref="A29:M29"/>
    <mergeCell ref="A30:M30"/>
    <mergeCell ref="A31:M31"/>
    <mergeCell ref="A32:M32"/>
    <mergeCell ref="A20:M20"/>
    <mergeCell ref="A21:M21"/>
    <mergeCell ref="A23:M23"/>
    <mergeCell ref="A24:M24"/>
    <mergeCell ref="A25:M25"/>
    <mergeCell ref="A26:M26"/>
    <mergeCell ref="A12:M12"/>
    <mergeCell ref="A14:M14"/>
    <mergeCell ref="A15:M15"/>
    <mergeCell ref="A16:M16"/>
    <mergeCell ref="L17:M17"/>
    <mergeCell ref="A19:M19"/>
    <mergeCell ref="A2:M2"/>
    <mergeCell ref="A5:M5"/>
    <mergeCell ref="A6:M6"/>
    <mergeCell ref="A8:M8"/>
    <mergeCell ref="A9:M9"/>
    <mergeCell ref="A11:M11"/>
  </mergeCells>
  <pageMargins left="0.25" right="0.25" top="0.75" bottom="0.75" header="0.3" footer="0.3"/>
  <ignoredErrors>
    <ignoredError numberStoredAsText="1" sqref="A1:M8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5"/>
  <sheetViews>
    <sheetView workbookViewId="0" rightToLeft="0"/>
  </sheetViews>
  <cols>
    <col min="1" max="1" customWidth="1" width="9.7109375" level="0" outlineLevel="0"/>
    <col min="2" max="2" customWidth="1" width="9.7109375" level="0" outlineLevel="0"/>
    <col min="3" max="3" customWidth="1" width="9.7109375" level="0" outlineLevel="0"/>
    <col min="4" max="4" customWidth="1" width="9.7109375" level="0" outlineLevel="0"/>
    <col min="5" max="5" customWidth="1" width="9.7109375" level="0" outlineLevel="0"/>
    <col min="6" max="6" customWidth="1" width="9.7109375" level="0" outlineLevel="0"/>
    <col min="7" max="7" customWidth="1" width="9.7109375" level="0" outlineLevel="0"/>
    <col min="8" max="8" customWidth="1" width="9.7109375" level="0" outlineLevel="0"/>
    <col min="9" max="9" customWidth="1" width="9.7109375" level="0" outlineLevel="0"/>
    <col min="10" max="10" customWidth="1" width="9.7109375" level="0" outlineLevel="0"/>
    <col min="11" max="11" customWidth="1" width="9.7109375" level="0" outlineLevel="0"/>
    <col min="12" max="12" customWidth="1" width="9.7109375" level="0" outlineLevel="0"/>
    <col min="13" max="13" customWidth="1" width="9.7109375" level="0" outlineLevel="0"/>
  </cols>
  <sheetData>
    <row r="1">
      <c r="A1" t="str">
        <v>Объект капитального строительства:</v>
      </c>
    </row>
    <row r="2" ht="50.1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>
      <c r="A3" t="str">
        <v xml:space="preserve"> (наименование проектной документации, почтовый или строительный адрес объекта капитального строительства)</v>
      </c>
    </row>
    <row r="4">
      <c r="A4" t="str">
        <v>Застройщик, технический заказчик, лицо, ответственное за эксплуатацию здания, сооружения, или региональный оператор:</v>
      </c>
    </row>
    <row r="5" ht="30" customHeight="1">
      <c r="A5" t="str">
        <f>CONCATENATE('Лист1'!A4,'Лист1'!A5)</f>
        <v>МКС – филиал ПАО «Россети Московский регион» ОГРН 1057746555811, ИНН 5036065113, 115035, г. Москва, ул. Садовническая, д.36 , тел.: 8 (495) 668-22-28 СРО СОЮЗ «ЭНЕРГОСТРОЙ», ОГРН 1097799013751, ИНН 7708237433</v>
      </c>
    </row>
    <row r="6" ht="35.1" customHeight="1">
      <c r="A6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7">
      <c r="A7" t="str">
        <v>Лицо, осуществляющее строительство, реконструкцию, капитальный ремонт:</v>
      </c>
    </row>
    <row r="8" ht="45" customHeight="1">
      <c r="A8" t="str">
        <f>CONCATENATE('Лист1'!A7,'Лист1'!A8)</f>
        <v>ООО «СМК» ОГРН 1167154074570, ИНН 7130031154,  153510, Ивановская область, г. Кохма, ул. Октябрьская, дом 49а, этаж 2, помещение №1, тел. 8-499-288-00-98; СРО-С-114-16122009 от 14.06.2019г., СРО Ассоциация "Саморегулируемая организация "Ивановское Объединение Строителей", ОГРН 1093700000426, ИНН 3702587586</v>
      </c>
    </row>
    <row r="9" ht="35.1" customHeight="1">
      <c r="A9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0">
      <c r="A10" t="str">
        <v>Лицо, осуществляющее подготовку проектной документации:</v>
      </c>
    </row>
    <row r="11" ht="45" customHeight="1">
      <c r="A11" t="str">
        <f>CONCATENATE('Лист1'!A10,'Лист1'!A11)</f>
        <v xml:space="preserve">ООО «СМК»   ОГРН 1167154074570, ИНН 7130031154,  153510, Ивановская область, г. Кохма, ул. Октябрьская, дом 49а, этаж 2, помещение №1, тел. 8-499-288-00-98; СРО-П-027-18092009 от 31.01.2018г., СРО Ассоциация проектных компаний "Межрегиональная ассоциация проектировщиков", ОГРН 1097799009197, ИНН 7705048438                          </v>
      </c>
    </row>
    <row r="12" ht="35.1" customHeight="1">
      <c r="A12" t="str">
        <v>(фамилия, имя, отчество (последнее - при наличии), адрес места жительства, ОГРНИП, ИНН индивидуального предпринимателя,  полное и (или) сокращенное наименование, ОГРН, ИНН, место нахождения юридического лица, телефон/факс;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v>
      </c>
    </row>
    <row r="13"/>
    <row r="14" ht="15" customHeight="1">
      <c r="A14" t="str">
        <v>АКТ</v>
      </c>
    </row>
    <row r="15" ht="15" customHeight="1">
      <c r="A15" t="str">
        <v>освидетельствования скрытых работ</v>
      </c>
    </row>
    <row r="16">
      <c r="A16" t="str">
        <v>(Устройство закрытого перехода методом ГНБ под прокладку КЛ)</v>
      </c>
    </row>
    <row r="17">
      <c r="A17" s="1" t="str">
        <f>'Лист1'!B82</f>
        <v>№1/10</v>
      </c>
      <c r="L17" s="1">
        <f>'Лист1'!E81</f>
        <v>45961</v>
      </c>
    </row>
    <row r="19" ht="30" customHeight="1">
      <c r="A19" t="str">
        <v>Представитель застройщика, технического заказчика, лица, ответственного за эксплуатацию здания сооружения, или регионального оператора по вопросам строительного контроля:</v>
      </c>
    </row>
    <row r="20" ht="30" customHeight="1">
      <c r="A20" t="str">
        <f>CONCATENATE('Лист1'!A14,'Лист1'!A15)</f>
        <v>Заместитель начальника УКС ЮВО МКС филиал ПАО «РОССЕТИ МОСКОВСКИЙ РЕГИОН» Гусев П.А.ИНРС в области строительства №С-77-204102 от 18.10.2019  распоряжение №1399р от 01.07.2025 г.</v>
      </c>
    </row>
    <row r="21" ht="39.95" customHeight="1">
      <c r="A21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 с указанием полного или сокращенного наименования, ОРГН, ИНН, адреса юр. лица в пределах его места нахождения, ФИМ, адреса места жительства ОГРНИП, ИНН индивидуального предпринимателя).</v>
      </c>
    </row>
    <row r="22" ht="15" customHeight="1">
      <c r="A22" t="str">
        <v xml:space="preserve">Представитель лица, осуществляющего строительство, реконструкцию, капитальный ремонт: </v>
      </c>
    </row>
    <row r="23" ht="15" customHeight="1">
      <c r="A23" t="str">
        <f>CONCATENATE('Лист1'!A20," ",'Лист1'!A21)</f>
        <v>Зам. начальника ПТО ООО "СМК" Тишков В.А., С-77-233823 от 25.05.2021г.  приказ №18-ЛНА 1 от 03.11.2020г.</v>
      </c>
    </row>
    <row r="24">
      <c r="A24" t="str">
        <v>(должность (при наличии), фамилия, инициалы, реквизиты распорядительного документа, подтверждающего полномочия)</v>
      </c>
    </row>
    <row r="25" ht="15" customHeight="1">
      <c r="A25" t="str">
        <v xml:space="preserve">Представитель лица, осуществляющего строительство, реконструкцию, капитальный ремонт по вопросам строительного  контроля: </v>
      </c>
    </row>
    <row r="26" ht="30" customHeight="1">
      <c r="A26" t="str">
        <f>CONCATENATE('Лист1'!A17," ",'Лист1'!A18)</f>
        <v>Заместитель генерального директора по развитию ООО "СМК" Прошин Н.Н.,  ИНРС в области строительства  С-71-081355 от 21.08.2017г.; приказ №18-ЛНА от 09.01.2019г.</v>
      </c>
    </row>
    <row r="27" ht="30" customHeight="1">
      <c r="A27" t="str">
        <v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v>
      </c>
    </row>
    <row r="28" ht="45" customHeight="1">
      <c r="A28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v>
      </c>
    </row>
    <row r="29" ht="30" customHeight="1">
      <c r="A29" t="str">
        <f>CONCATENATE('Лист1'!A23,'Лист1'!A24)</f>
        <v xml:space="preserve"> ГИП ООО "СМК" Сергеев А.А., индетификационный номер в НРС в НОПРИЗ ПИ-125535 от 19.02.2021гПриказ №27-ЛНА от 03.02.2022г,</v>
      </c>
    </row>
    <row r="30" ht="39.95" customHeight="1">
      <c r="A30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 (в случае осуществления авторского надзора лицом, не являющимся разработчиком проектной документации), полное и (или) сокращенное наименование, ОГРН, ИНН саморегулируемой организации, членом которой является указанное юридическое лицо,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v>
      </c>
    </row>
    <row r="31" ht="40.5" customHeight="1">
      <c r="A31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v>
      </c>
    </row>
    <row r="32" ht="45" customHeight="1">
      <c r="A32" t="str">
        <f>CONCATENATE('Лист1'!A26,'Лист1'!A27,'Лист1'!A29)</f>
        <v>Главный инженер ООО «СКМ-ГРУПП» Картавченко А.Л.,Приказ №25-11-03-1 от 03.11.2023 г.ОГРН 5167746459579, ИНН 9723046395, 117303, 125481 г. Москва, ул. Свободы, д.103, стр.10 комн.4 тел. +7 499 755-60-20; СРО Ассоциация СРО «ЭкспертСтрой» ОГРН 1127799010668 ИНН 7708240612</v>
      </c>
    </row>
    <row r="33" ht="24.95" customHeight="1">
      <c r="A33" t="str">
        <v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v>
      </c>
    </row>
    <row r="34">
      <c r="A34" t="str">
        <v>Иные представители технического заказчика:</v>
      </c>
    </row>
    <row r="35" ht="30" customHeight="1">
      <c r="A35" t="str">
        <f>CONCATENATE('Лист1'!A31,'Лист1'!A32)</f>
        <v>Старший мастер 7 РЭР УКС ЮВО МКС филиал ПАО «РОССЕТИ МОСКОВСКИЙ РЕГИОН» Рящиков М.Ю.распоряжение №1399р от 01.07.2025г</v>
      </c>
    </row>
    <row r="36">
      <c r="A36" t="str">
        <v>(должность, фамилия, инициалы, реквизиты документа о представительстве)</v>
      </c>
    </row>
    <row r="37" ht="15.75" customHeight="1">
      <c r="A37" t="str">
        <v xml:space="preserve">произвели осмотр работ, выполненных: </v>
      </c>
    </row>
    <row r="38" ht="15" customHeight="1">
      <c r="A38" t="str">
        <f>'Лист1'!C69</f>
        <v xml:space="preserve"> ООО «СКМ-ГРУПП»</v>
      </c>
    </row>
    <row r="39">
      <c r="A39" t="str">
        <v>(наименование лица, осуществляющего строительство, выполнившего работы)</v>
      </c>
    </row>
    <row r="40">
      <c r="A40" t="str">
        <v>и составили настоящий акт о нижеследующем:</v>
      </c>
    </row>
    <row r="41" ht="15.75" customHeight="1">
      <c r="A41" t="str">
        <v xml:space="preserve">1. К освидетельствованию представлены следующие работы:: </v>
      </c>
    </row>
    <row r="42" ht="30" customHeight="1">
      <c r="A42" t="str">
        <f>CONCATENATE("Устройство закрытого перехода ",'Лист1'!C49," методом горизонтально-направленного бурения, 1 скважина ",,'Лист1'!C54," трубы, под прокладку кабельных линий,"," расположенный по адресу: ",,'Лист1'!C48,"")</f>
        <v>Устройство закрытого перехода №1  методом горизонтально-направленного бурения, 1 скважина 3 трубы, под прокладку кабельных линий, расположенный по адресу: г. Москва, Салтыковская ул. д.5А</v>
      </c>
    </row>
    <row r="43">
      <c r="A43" t="str">
        <v>(наименование скрытых работ)</v>
      </c>
    </row>
    <row r="44">
      <c r="A44" t="str">
        <v>2. Работы выполнены в соответствии с:</v>
      </c>
    </row>
    <row r="45" ht="60" customHeight="1">
      <c r="A45" t="str">
        <f>CONCATENATE("Проектом:"," ",'Лист1'!C67," шифр:"," ", 'Лист1'!C68," Тиутул:"," ",'Лист1'!A2,)</f>
        <v xml:space="preserve">Проектом: ООО «СМК»  шифр: 345716/ПС-25 Тиутул: «Строительство 8КЛ-0,4 кВ от ТП-10/0,4кВ № 22172 до ВРУ-0,4кВ №1 Заявителя, в т.ч. ПИР: г.Москва, ул. Салтыковская, д.5А» </v>
      </c>
    </row>
    <row r="46">
      <c r="A46" t="str">
        <v>(номер, другие реквизиты чертежа, наименование проектной или рабочей документации, сведения о лицах, осуществляющих подготовку, раздела проектной и/или рабочей документации)</v>
      </c>
    </row>
    <row r="47">
      <c r="A47" t="str">
        <v>3. При выполнении работ применены:</v>
      </c>
    </row>
    <row r="48" ht="90" customHeight="1">
      <c r="A48" t="str">
        <f>CONCATENATE("1. Трубы"," ",'Лист1'!C61," ;",'Лист1'!C62,""," 2. ",'Лист1'!C63," ; 3. ",'Лист1'!C64," 4. ",'Лист1'!C65,)</f>
        <v xml:space="preserve">1. Трубы ЭЛЕКТРОПАЙП ОС РС 160х8.9 SN16-N F90 T120 ;Паспорт качества №12514 от 09.10.2025г; Сертификат соответствия №РОСС RU.HB24.АПТС H00165/24 до 20.02.2029г.   2. Глинопорошок бентонитовый для горизонтального бурения "Bentopro standart", сертификат соответствия: RU.32468.04ЛЕГО.010.3869 ; 3. Ингибитор глины «BentoPro PHPA» 4. Заглушки,  УКПТ 175/55 </v>
      </c>
      <c r="N48" t="str">
        <v>ТРУБА</v>
      </c>
    </row>
    <row r="49">
      <c r="A49" t="str">
        <v>(наименование строительных материалов(изделий) со ссылкой на сертификаты или другие документы, подтверждающие качество)</v>
      </c>
    </row>
    <row r="50">
      <c r="A50" t="str">
        <v>4.    Предъявлены документы, подтверждающие соответствие работ предъявляемым к ним требованиям:</v>
      </c>
    </row>
    <row r="51" ht="15" customHeight="1">
      <c r="A51" t="str">
        <f>CONCATENATE("1. Общий журнал работ по форме КС-6"," 2. Исполнительный чертеж закрытого перехода"," ", 'Лист1'!C49,)</f>
        <v xml:space="preserve">1. Общий журнал работ по форме КС-6 2. Исполнительный чертеж закрытого перехода №1 </v>
      </c>
    </row>
    <row r="52">
      <c r="A52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3">
      <c r="A53" t="str">
        <v xml:space="preserve">5. Даты: </v>
      </c>
      <c r="B53" t="str">
        <v>начало работ:</v>
      </c>
      <c r="D53" s="1">
        <f>'Лист1'!C82</f>
        <v>45958</v>
      </c>
    </row>
    <row r="54">
      <c r="B54" t="str">
        <v>окончание работ:</v>
      </c>
      <c r="D54" s="1">
        <f>'Лист1'!E82</f>
        <v>45961</v>
      </c>
    </row>
    <row r="55">
      <c r="A55" t="str">
        <v xml:space="preserve">6. Работы выполнены в соответствии с: </v>
      </c>
    </row>
    <row r="56" ht="45" customHeight="1">
      <c r="A56" t="str">
        <f>CONCATENATE("Проектом:"," ",'Лист1'!C67," шифр:"," ", 'Лист1'!C68,"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бурением",)</f>
        <v>Проектом: ООО «СМК»  шифр: 345716/ПС-25 Безопасность труда в строительстве»; CНиП 12-04-2002 Безопасность труда в строительстве. Часть 2. Строительное производство СП341. 1325800.2017; Подземные инженерные коммуникации прокладка горизонтальным направленным бурением</v>
      </c>
    </row>
    <row r="57">
      <c r="A57" t="str">
        <v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v>
      </c>
    </row>
    <row r="58">
      <c r="A58" t="str">
        <v xml:space="preserve">7. Разрешается производство последующих работ по: </v>
      </c>
    </row>
    <row r="59" ht="15" customHeight="1">
      <c r="A59" t="str">
        <v>Прокладка кабельной линии в закрытый переход</v>
      </c>
    </row>
    <row r="60">
      <c r="A60" t="str">
        <v>(наименование работ, конструкций, участков сетей инженерно-технического обеспечения)</v>
      </c>
    </row>
    <row r="61">
      <c r="A61" t="str">
        <v xml:space="preserve">Дополнительные сведения: </v>
      </c>
      <c r="D61" t="str">
        <v>отсутствуют</v>
      </c>
    </row>
    <row r="62">
      <c r="A62" t="str">
        <f>CONCATENATE("Акт составлен в"," ",'Лист1'!K72," экземплярах",)</f>
        <v>Акт составлен в 2 экземплярах</v>
      </c>
    </row>
    <row r="63"/>
    <row r="64">
      <c r="A64" t="str">
        <v xml:space="preserve">Приложения: </v>
      </c>
    </row>
    <row r="65">
      <c r="A65" t="str">
        <v>1. В соответствии с п.3 и п.4</v>
      </c>
    </row>
    <row r="66">
      <c r="A66">
        <v>2</v>
      </c>
    </row>
    <row r="67"/>
    <row r="68" ht="30" customHeight="1">
      <c r="A68" t="str">
        <v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v>
      </c>
    </row>
    <row r="69" ht="15" customHeight="1">
      <c r="A69" t="str">
        <f>'Лист1'!B35</f>
        <v>Гусев П.А.</v>
      </c>
    </row>
    <row r="70">
      <c r="A70" t="str">
        <v>(фамилия, инициалы, подпись)</v>
      </c>
    </row>
    <row r="71" ht="15" customHeight="1">
      <c r="A71" t="str">
        <v>Представитель лица, осуществляющего строительство, реконструкцию, капитальный ремонт:</v>
      </c>
    </row>
    <row r="72" ht="15" customHeight="1">
      <c r="A72" t="str">
        <f>'Лист1'!B39</f>
        <v>Тишков В.А.</v>
      </c>
    </row>
    <row r="73">
      <c r="A73" t="str">
        <v>(фамилия, инициалы, подпись)</v>
      </c>
    </row>
    <row r="74" ht="15" customHeight="1">
      <c r="A74" t="str">
        <v>Представитель лица, осуществляющего строительство, реконструкцию, капитальный ремонт, по вопросам строительного контроля:</v>
      </c>
    </row>
    <row r="75" ht="15" customHeight="1">
      <c r="A75" t="str">
        <f>'Лист1'!B37</f>
        <v>Прошин Н.Н.</v>
      </c>
    </row>
    <row r="76">
      <c r="A76" t="str">
        <v>(фамилия, инициалы, подпись)</v>
      </c>
    </row>
    <row r="77" ht="45" customHeight="1">
      <c r="A77" t="str">
        <v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Федерации):</v>
      </c>
    </row>
    <row r="78" ht="15" customHeight="1">
      <c r="A78" t="str">
        <f>'Лист1'!B41</f>
        <v>Сергеев А.А.</v>
      </c>
    </row>
    <row r="79">
      <c r="A79" t="str">
        <v>(фамилия, инициалы, подпись)</v>
      </c>
    </row>
    <row r="80" ht="30" customHeight="1">
      <c r="A80" t="str">
        <v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лицами):</v>
      </c>
    </row>
    <row r="81" ht="15" customHeight="1">
      <c r="A81" t="str">
        <f>'Лист1'!B43</f>
        <v>Картавченко А.Л.</v>
      </c>
    </row>
    <row r="82">
      <c r="A82" t="str">
        <v>(фамилия, инициалы, подпись)</v>
      </c>
    </row>
    <row r="83">
      <c r="A83" t="str">
        <v>Представители иных лиц технического заказчика:</v>
      </c>
    </row>
    <row r="84" ht="15" customHeight="1">
      <c r="A84" t="str">
        <f>'Лист1'!B45</f>
        <v>Рящиков М.Ю.</v>
      </c>
    </row>
    <row r="85">
      <c r="A85" t="str">
        <v>(фамилия, инициалы, подпись)</v>
      </c>
    </row>
  </sheetData>
  <mergeCells count="58">
    <mergeCell ref="A80:M80"/>
    <mergeCell ref="A79:M79"/>
    <mergeCell ref="A82:M82"/>
    <mergeCell ref="A85:M85"/>
    <mergeCell ref="A59:M59"/>
    <mergeCell ref="A60:M60"/>
    <mergeCell ref="D61:E61"/>
    <mergeCell ref="A66:B66"/>
    <mergeCell ref="A70:M70"/>
    <mergeCell ref="A73:M73"/>
    <mergeCell ref="A77:M77"/>
    <mergeCell ref="A56:M56"/>
    <mergeCell ref="A57:M57"/>
    <mergeCell ref="D53:E53"/>
    <mergeCell ref="D54:E54"/>
    <mergeCell ref="A76:M76"/>
    <mergeCell ref="A71:M71"/>
    <mergeCell ref="A68:M68"/>
    <mergeCell ref="A74:M74"/>
    <mergeCell ref="A43:M43"/>
    <mergeCell ref="A45:M45"/>
    <mergeCell ref="A46:M46"/>
    <mergeCell ref="A48:M48"/>
    <mergeCell ref="A49:M49"/>
    <mergeCell ref="B54:C54"/>
    <mergeCell ref="A51:M51"/>
    <mergeCell ref="A52:M52"/>
    <mergeCell ref="B53:C53"/>
    <mergeCell ref="A32:M32"/>
    <mergeCell ref="A33:M33"/>
    <mergeCell ref="A35:M35"/>
    <mergeCell ref="A36:M36"/>
    <mergeCell ref="A38:M38"/>
    <mergeCell ref="A39:M39"/>
    <mergeCell ref="A42:M42"/>
    <mergeCell ref="A23:M23"/>
    <mergeCell ref="A24:M24"/>
    <mergeCell ref="A26:M26"/>
    <mergeCell ref="A27:M27"/>
    <mergeCell ref="A29:M29"/>
    <mergeCell ref="A30:M30"/>
    <mergeCell ref="A25:M25"/>
    <mergeCell ref="A28:M28"/>
    <mergeCell ref="A31:M31"/>
    <mergeCell ref="A14:M14"/>
    <mergeCell ref="A15:M15"/>
    <mergeCell ref="L17:M17"/>
    <mergeCell ref="A20:M20"/>
    <mergeCell ref="A21:M21"/>
    <mergeCell ref="A19:M19"/>
    <mergeCell ref="A16:M16"/>
    <mergeCell ref="A12:M12"/>
    <mergeCell ref="A2:M2"/>
    <mergeCell ref="A5:M5"/>
    <mergeCell ref="A6:M6"/>
    <mergeCell ref="A8:M8"/>
    <mergeCell ref="A9:M9"/>
    <mergeCell ref="A11:M11"/>
  </mergeCells>
  <pageMargins left="0.23622047244094488" right="0.23622047244094488" top="0.7480314960629921" bottom="0.7480314960629921" header="0.31496062992125984" footer="0.31496062992125984"/>
  <ignoredErrors>
    <ignoredError numberStoredAsText="1" sqref="A1:N8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A41"/>
  <sheetViews>
    <sheetView workbookViewId="0" rightToLeft="0"/>
  </sheetViews>
  <cols>
    <col min="1" max="1" customWidth="1" width="7.7109375" level="0" outlineLevel="0"/>
    <col min="2" max="2" customWidth="1" width="7.7109375" level="0" outlineLevel="0"/>
    <col min="3" max="3" customWidth="1" width="7.7109375" level="0" outlineLevel="0"/>
    <col min="4" max="4" customWidth="1" width="7.7109375" level="0" outlineLevel="0"/>
    <col min="5" max="5" customWidth="1" width="7.7109375" level="0" outlineLevel="0"/>
    <col min="6" max="6" customWidth="1" width="7.7109375" level="0" outlineLevel="0"/>
    <col min="7" max="7" customWidth="1" width="7.7109375" level="0" outlineLevel="0"/>
    <col min="8" max="8" customWidth="1" width="7.7109375" level="0" outlineLevel="0"/>
    <col min="9" max="9" customWidth="1" width="7.7109375" level="0" outlineLevel="0"/>
    <col min="10" max="10" customWidth="1" width="7.7109375" level="0" outlineLevel="0"/>
    <col min="11" max="11" customWidth="1" width="7.7109375" level="0" outlineLevel="0"/>
    <col min="12" max="12" customWidth="1" width="7.7109375" level="0" outlineLevel="0"/>
    <col min="13" max="13" customWidth="1" width="7.7109375" level="0" outlineLevel="0"/>
    <col min="14" max="14" customWidth="1" width="7.7109375" level="0" outlineLevel="0"/>
    <col min="15" max="15" customWidth="1" width="9.140625" level="0" outlineLevel="0"/>
    <col min="16" max="16" customWidth="1" width="9.140625" level="0" outlineLevel="0"/>
    <col min="17" max="17" customWidth="1" width="9.140625" level="0" outlineLevel="0"/>
    <col min="18" max="18" customWidth="1" width="9.140625" level="0" outlineLevel="0"/>
    <col min="19" max="19" customWidth="1" width="9.140625" level="0" outlineLevel="0"/>
    <col min="20" max="20" customWidth="1" width="9.140625" level="0" outlineLevel="0"/>
    <col min="21" max="21" customWidth="1" width="9.140625" level="0" outlineLevel="0"/>
    <col min="22" max="22" customWidth="1" width="9.140625" level="0" outlineLevel="0"/>
    <col min="23" max="23" customWidth="1" width="9.140625" level="0" outlineLevel="0"/>
    <col min="24" max="24" customWidth="1" width="9.140625" level="0" outlineLevel="0"/>
    <col min="25" max="25" customWidth="1" width="9.140625" level="0" outlineLevel="0"/>
    <col min="26" max="26" customWidth="1" width="9.140625" level="0" outlineLevel="0"/>
    <col min="27" max="27" customWidth="1" width="9.140625" level="0" outlineLevel="0"/>
    <col min="28" max="28" customWidth="1" width="9.140625" level="0" outlineLevel="0"/>
    <col min="29" max="29" customWidth="1" width="9.140625" level="0" outlineLevel="0"/>
    <col min="30" max="30" customWidth="1" width="9.140625" level="0" outlineLevel="0"/>
    <col min="31" max="31" customWidth="1" width="9.140625" level="0" outlineLevel="0"/>
    <col min="32" max="32" customWidth="1" width="9.140625" level="0" outlineLevel="0"/>
    <col min="33" max="33" customWidth="1" width="9.140625" level="0" outlineLevel="0"/>
    <col min="34" max="34" customWidth="1" width="9.140625" level="0" outlineLevel="0"/>
    <col min="35" max="35" customWidth="1" width="9.140625" level="0" outlineLevel="0"/>
    <col min="36" max="36" customWidth="1" width="9.140625" level="0" outlineLevel="0"/>
    <col min="37" max="37" customWidth="1" width="9.140625" level="0" outlineLevel="0"/>
    <col min="38" max="38" customWidth="1" width="9.140625" level="0" outlineLevel="0"/>
    <col min="39" max="39" customWidth="1" width="9.140625" level="0" outlineLevel="0"/>
    <col min="40" max="40" customWidth="1" width="9.140625" level="0" outlineLevel="0"/>
    <col min="41" max="41" customWidth="1" width="9.140625" level="0" outlineLevel="0"/>
    <col min="42" max="42" customWidth="1" width="9.140625" level="0" outlineLevel="0"/>
    <col min="43" max="43" customWidth="1" width="9.140625" level="0" outlineLevel="0"/>
    <col min="44" max="44" customWidth="1" width="9.140625" level="0" outlineLevel="0"/>
    <col min="45" max="45" customWidth="1" width="9.140625" level="0" outlineLevel="0"/>
    <col min="46" max="46" customWidth="1" width="9.140625" level="0" outlineLevel="0"/>
    <col min="47" max="47" customWidth="1" width="9.140625" level="0" outlineLevel="0"/>
    <col min="48" max="48" customWidth="1" width="9.140625" level="0" outlineLevel="0"/>
    <col min="49" max="49" customWidth="1" width="9.140625" level="0" outlineLevel="0"/>
    <col min="50" max="50" customWidth="1" width="9.140625" level="0" outlineLevel="0"/>
    <col min="51" max="51" customWidth="1" width="9.140625" level="0" outlineLevel="0"/>
    <col min="52" max="52" customWidth="1" width="9.140625" level="0" outlineLevel="0"/>
    <col min="53" max="53" customWidth="1" width="9.140625" level="0" outlineLevel="0"/>
    <col min="54" max="54" customWidth="1" width="9.140625" level="0" outlineLevel="0"/>
    <col min="55" max="55" customWidth="1" width="9.140625" level="0" outlineLevel="0"/>
    <col min="56" max="56" customWidth="1" width="9.140625" level="0" outlineLevel="0"/>
    <col min="57" max="57" customWidth="1" width="9.140625" level="0" outlineLevel="0"/>
    <col min="58" max="58" customWidth="1" width="9.140625" level="0" outlineLevel="0"/>
    <col min="59" max="59" customWidth="1" width="9.140625" level="0" outlineLevel="0"/>
    <col min="60" max="60" customWidth="1" width="9.140625" level="0" outlineLevel="0"/>
    <col min="61" max="61" customWidth="1" width="9.140625" level="0" outlineLevel="0"/>
    <col min="62" max="62" customWidth="1" width="9.140625" level="0" outlineLevel="0"/>
    <col min="63" max="63" customWidth="1" width="9.140625" level="0" outlineLevel="0"/>
    <col min="64" max="64" customWidth="1" width="9.140625" level="0" outlineLevel="0"/>
    <col min="65" max="65" customWidth="1" width="9.140625" level="0" outlineLevel="0"/>
    <col min="66" max="66" customWidth="1" width="9.140625" level="0" outlineLevel="0"/>
    <col min="67" max="67" customWidth="1" width="9.140625" level="0" outlineLevel="0"/>
    <col min="68" max="68" customWidth="1" width="9.140625" level="0" outlineLevel="0"/>
    <col min="69" max="69" customWidth="1" width="9.140625" level="0" outlineLevel="0"/>
    <col min="70" max="70" customWidth="1" width="9.140625" level="0" outlineLevel="0"/>
    <col min="71" max="71" customWidth="1" width="9.140625" level="0" outlineLevel="0"/>
    <col min="72" max="72" customWidth="1" width="9.140625" level="0" outlineLevel="0"/>
    <col min="73" max="73" customWidth="1" width="9.140625" level="0" outlineLevel="0"/>
    <col min="74" max="74" customWidth="1" width="9.140625" level="0" outlineLevel="0"/>
    <col min="75" max="75" customWidth="1" width="9.140625" level="0" outlineLevel="0"/>
    <col min="76" max="76" customWidth="1" width="9.140625" level="0" outlineLevel="0"/>
    <col min="77" max="77" customWidth="1" width="9.140625" level="0" outlineLevel="0"/>
    <col min="78" max="78" customWidth="1" width="9.140625" level="0" outlineLevel="0"/>
    <col min="79" max="79" customWidth="1" width="9.140625" level="0" outlineLevel="0"/>
    <col min="80" max="80" customWidth="1" width="9.140625" level="0" outlineLevel="0"/>
    <col min="81" max="81" customWidth="1" width="9.140625" level="0" outlineLevel="0"/>
    <col min="82" max="82" customWidth="1" width="9.140625" level="0" outlineLevel="0"/>
    <col min="83" max="83" customWidth="1" width="9.140625" level="0" outlineLevel="0"/>
    <col min="84" max="84" customWidth="1" width="9.140625" level="0" outlineLevel="0"/>
    <col min="85" max="85" customWidth="1" width="9.140625" level="0" outlineLevel="0"/>
    <col min="86" max="86" customWidth="1" width="9.140625" level="0" outlineLevel="0"/>
    <col min="87" max="87" customWidth="1" width="9.140625" level="0" outlineLevel="0"/>
    <col min="88" max="88" customWidth="1" width="9.140625" level="0" outlineLevel="0"/>
    <col min="89" max="89" customWidth="1" width="9.140625" level="0" outlineLevel="0"/>
    <col min="90" max="90" customWidth="1" width="9.140625" level="0" outlineLevel="0"/>
    <col min="91" max="91" customWidth="1" width="9.140625" level="0" outlineLevel="0"/>
    <col min="92" max="92" customWidth="1" width="9.140625" level="0" outlineLevel="0"/>
    <col min="93" max="93" customWidth="1" width="9.140625" level="0" outlineLevel="0"/>
    <col min="94" max="94" customWidth="1" width="9.140625" level="0" outlineLevel="0"/>
    <col min="95" max="95" customWidth="1" width="9.140625" level="0" outlineLevel="0"/>
    <col min="96" max="96" customWidth="1" width="9.140625" level="0" outlineLevel="0"/>
    <col min="97" max="97" customWidth="1" width="9.140625" level="0" outlineLevel="0"/>
    <col min="98" max="98" customWidth="1" width="9.140625" level="0" outlineLevel="0"/>
    <col min="99" max="99" customWidth="1" width="9.140625" level="0" outlineLevel="0"/>
    <col min="100" max="100" customWidth="1" width="9.140625" level="0" outlineLevel="0"/>
    <col min="101" max="101" customWidth="1" width="9.140625" level="0" outlineLevel="0"/>
    <col min="102" max="102" customWidth="1" width="9.140625" level="0" outlineLevel="0"/>
    <col min="103" max="103" customWidth="1" width="9.140625" level="0" outlineLevel="0"/>
    <col min="104" max="104" customWidth="1" width="9.140625" level="0" outlineLevel="0"/>
    <col min="105" max="105" customWidth="1" width="9.140625" level="0" outlineLevel="0"/>
    <col min="106" max="106" customWidth="1" width="9.140625" level="0" outlineLevel="0"/>
    <col min="107" max="107" customWidth="1" width="9.140625" level="0" outlineLevel="0"/>
    <col min="108" max="108" customWidth="1" width="9.140625" level="0" outlineLevel="0"/>
    <col min="109" max="109" customWidth="1" width="9.140625" level="0" outlineLevel="0"/>
    <col min="110" max="110" customWidth="1" width="9.140625" level="0" outlineLevel="0"/>
    <col min="111" max="111" customWidth="1" width="9.140625" level="0" outlineLevel="0"/>
    <col min="112" max="112" customWidth="1" width="9.140625" level="0" outlineLevel="0"/>
    <col min="113" max="113" customWidth="1" width="9.140625" level="0" outlineLevel="0"/>
    <col min="114" max="114" customWidth="1" width="9.140625" level="0" outlineLevel="0"/>
    <col min="115" max="115" customWidth="1" width="9.140625" level="0" outlineLevel="0"/>
    <col min="116" max="116" customWidth="1" width="9.140625" level="0" outlineLevel="0"/>
    <col min="117" max="117" customWidth="1" width="9.140625" level="0" outlineLevel="0"/>
    <col min="118" max="118" customWidth="1" width="9.140625" level="0" outlineLevel="0"/>
    <col min="119" max="119" customWidth="1" width="9.140625" level="0" outlineLevel="0"/>
    <col min="120" max="120" customWidth="1" width="9.140625" level="0" outlineLevel="0"/>
    <col min="121" max="121" customWidth="1" width="9.140625" level="0" outlineLevel="0"/>
    <col min="122" max="122" customWidth="1" width="9.140625" level="0" outlineLevel="0"/>
    <col min="123" max="123" customWidth="1" width="9.140625" level="0" outlineLevel="0"/>
    <col min="124" max="124" customWidth="1" width="9.140625" level="0" outlineLevel="0"/>
    <col min="125" max="125" customWidth="1" width="9.140625" level="0" outlineLevel="0"/>
    <col min="126" max="126" customWidth="1" width="9.140625" level="0" outlineLevel="0"/>
    <col min="127" max="127" customWidth="1" width="9.140625" level="0" outlineLevel="0"/>
    <col min="128" max="128" customWidth="1" width="9.140625" level="0" outlineLevel="0"/>
    <col min="129" max="129" customWidth="1" width="9.140625" level="0" outlineLevel="0"/>
    <col min="130" max="130" customWidth="1" width="9.140625" level="0" outlineLevel="0"/>
    <col min="131" max="131" customWidth="1" width="9.140625" level="0" outlineLevel="0"/>
    <col min="132" max="132" customWidth="1" width="9.140625" level="0" outlineLevel="0"/>
    <col min="133" max="133" customWidth="1" width="9.140625" level="0" outlineLevel="0"/>
    <col min="134" max="134" customWidth="1" width="9.140625" level="0" outlineLevel="0"/>
    <col min="135" max="135" customWidth="1" width="9.140625" level="0" outlineLevel="0"/>
    <col min="136" max="136" customWidth="1" width="9.140625" level="0" outlineLevel="0"/>
    <col min="137" max="137" customWidth="1" width="9.140625" level="0" outlineLevel="0"/>
    <col min="138" max="138" customWidth="1" width="9.140625" level="0" outlineLevel="0"/>
    <col min="139" max="139" customWidth="1" width="9.140625" level="0" outlineLevel="0"/>
    <col min="140" max="140" customWidth="1" width="9.140625" level="0" outlineLevel="0"/>
    <col min="141" max="141" customWidth="1" width="9.140625" level="0" outlineLevel="0"/>
    <col min="142" max="142" customWidth="1" width="9.140625" level="0" outlineLevel="0"/>
    <col min="143" max="143" customWidth="1" width="9.140625" level="0" outlineLevel="0"/>
    <col min="144" max="144" customWidth="1" width="9.140625" level="0" outlineLevel="0"/>
    <col min="145" max="145" customWidth="1" width="9.140625" level="0" outlineLevel="0"/>
    <col min="146" max="146" customWidth="1" width="9.140625" level="0" outlineLevel="0"/>
    <col min="147" max="147" customWidth="1" width="9.140625" level="0" outlineLevel="0"/>
    <col min="148" max="148" customWidth="1" width="9.140625" level="0" outlineLevel="0"/>
    <col min="149" max="149" customWidth="1" width="9.140625" level="0" outlineLevel="0"/>
    <col min="150" max="150" customWidth="1" width="9.140625" level="0" outlineLevel="0"/>
    <col min="151" max="151" customWidth="1" width="9.140625" level="0" outlineLevel="0"/>
    <col min="152" max="152" customWidth="1" width="9.140625" level="0" outlineLevel="0"/>
    <col min="153" max="153" customWidth="1" width="9.140625" level="0" outlineLevel="0"/>
    <col min="154" max="154" customWidth="1" width="9.140625" level="0" outlineLevel="0"/>
    <col min="155" max="155" customWidth="1" width="9.140625" level="0" outlineLevel="0"/>
    <col min="156" max="156" customWidth="1" width="9.140625" level="0" outlineLevel="0"/>
    <col min="157" max="157" customWidth="1" width="9.140625" level="0" outlineLevel="0"/>
    <col min="158" max="158" customWidth="1" width="9.140625" level="0" outlineLevel="0"/>
    <col min="159" max="159" customWidth="1" width="9.140625" level="0" outlineLevel="0"/>
    <col min="160" max="160" customWidth="1" width="9.140625" level="0" outlineLevel="0"/>
    <col min="161" max="161" customWidth="1" width="9.140625" level="0" outlineLevel="0"/>
    <col min="162" max="162" customWidth="1" width="9.140625" level="0" outlineLevel="0"/>
    <col min="163" max="163" customWidth="1" width="9.140625" level="0" outlineLevel="0"/>
    <col min="164" max="164" customWidth="1" width="9.140625" level="0" outlineLevel="0"/>
    <col min="165" max="165" customWidth="1" width="9.140625" level="0" outlineLevel="0"/>
    <col min="166" max="166" customWidth="1" width="9.140625" level="0" outlineLevel="0"/>
    <col min="167" max="167" customWidth="1" width="9.140625" level="0" outlineLevel="0"/>
    <col min="168" max="168" customWidth="1" width="9.140625" level="0" outlineLevel="0"/>
    <col min="169" max="169" customWidth="1" width="9.140625" level="0" outlineLevel="0"/>
    <col min="170" max="170" customWidth="1" width="9.140625" level="0" outlineLevel="0"/>
    <col min="171" max="171" customWidth="1" width="9.140625" level="0" outlineLevel="0"/>
    <col min="172" max="172" customWidth="1" width="9.140625" level="0" outlineLevel="0"/>
    <col min="173" max="173" customWidth="1" width="9.140625" level="0" outlineLevel="0"/>
    <col min="174" max="174" customWidth="1" width="9.140625" level="0" outlineLevel="0"/>
    <col min="175" max="175" customWidth="1" width="9.140625" level="0" outlineLevel="0"/>
    <col min="176" max="176" customWidth="1" width="9.140625" level="0" outlineLevel="0"/>
    <col min="177" max="177" customWidth="1" width="9.140625" level="0" outlineLevel="0"/>
    <col min="178" max="178" customWidth="1" width="9.140625" level="0" outlineLevel="0"/>
    <col min="179" max="179" customWidth="1" width="9.140625" level="0" outlineLevel="0"/>
    <col min="180" max="180" customWidth="1" width="9.140625" level="0" outlineLevel="0"/>
    <col min="181" max="181" customWidth="1" width="9.140625" level="0" outlineLevel="0"/>
    <col min="182" max="182" customWidth="1" width="9.140625" level="0" outlineLevel="0"/>
    <col min="183" max="183" customWidth="1" width="9.140625" level="0" outlineLevel="0"/>
    <col min="184" max="184" customWidth="1" width="9.140625" level="0" outlineLevel="0"/>
    <col min="185" max="185" customWidth="1" width="9.140625" level="0" outlineLevel="0"/>
    <col min="186" max="186" customWidth="1" width="9.140625" level="0" outlineLevel="0"/>
    <col min="187" max="187" customWidth="1" width="9.140625" level="0" outlineLevel="0"/>
    <col min="188" max="188" customWidth="1" width="9.140625" level="0" outlineLevel="0"/>
    <col min="189" max="189" customWidth="1" width="9.140625" level="0" outlineLevel="0"/>
    <col min="190" max="190" customWidth="1" width="9.140625" level="0" outlineLevel="0"/>
    <col min="191" max="191" customWidth="1" width="9.140625" level="0" outlineLevel="0"/>
    <col min="192" max="192" customWidth="1" width="9.140625" level="0" outlineLevel="0"/>
    <col min="193" max="193" customWidth="1" width="9.140625" level="0" outlineLevel="0"/>
    <col min="194" max="194" customWidth="1" width="9.140625" level="0" outlineLevel="0"/>
    <col min="195" max="195" customWidth="1" width="9.140625" level="0" outlineLevel="0"/>
    <col min="196" max="196" customWidth="1" width="9.140625" level="0" outlineLevel="0"/>
    <col min="197" max="197" customWidth="1" width="9.140625" level="0" outlineLevel="0"/>
    <col min="198" max="198" customWidth="1" width="9.140625" level="0" outlineLevel="0"/>
    <col min="199" max="199" customWidth="1" width="9.140625" level="0" outlineLevel="0"/>
    <col min="200" max="200" customWidth="1" width="9.140625" level="0" outlineLevel="0"/>
    <col min="201" max="201" customWidth="1" width="9.140625" level="0" outlineLevel="0"/>
    <col min="202" max="202" customWidth="1" width="9.140625" level="0" outlineLevel="0"/>
    <col min="203" max="203" customWidth="1" width="9.140625" level="0" outlineLevel="0"/>
    <col min="204" max="204" customWidth="1" width="9.140625" level="0" outlineLevel="0"/>
    <col min="205" max="205" customWidth="1" width="9.140625" level="0" outlineLevel="0"/>
    <col min="206" max="206" customWidth="1" width="9.140625" level="0" outlineLevel="0"/>
    <col min="207" max="207" customWidth="1" width="9.140625" level="0" outlineLevel="0"/>
    <col min="208" max="208" customWidth="1" width="9.140625" level="0" outlineLevel="0"/>
    <col min="209" max="209" customWidth="1" width="9.140625" level="0" outlineLevel="0"/>
    <col min="210" max="210" customWidth="1" width="9.140625" level="0" outlineLevel="0"/>
    <col min="211" max="211" customWidth="1" width="9.140625" level="0" outlineLevel="0"/>
    <col min="212" max="212" customWidth="1" width="9.140625" level="0" outlineLevel="0"/>
    <col min="213" max="213" customWidth="1" width="9.140625" level="0" outlineLevel="0"/>
    <col min="214" max="214" customWidth="1" width="9.140625" level="0" outlineLevel="0"/>
    <col min="215" max="215" customWidth="1" width="9.140625" level="0" outlineLevel="0"/>
    <col min="216" max="216" customWidth="1" width="9.140625" level="0" outlineLevel="0"/>
    <col min="217" max="217" customWidth="1" width="9.140625" level="0" outlineLevel="0"/>
    <col min="218" max="218" customWidth="1" width="9.140625" level="0" outlineLevel="0"/>
    <col min="219" max="219" customWidth="1" width="9.140625" level="0" outlineLevel="0"/>
    <col min="220" max="220" customWidth="1" width="9.140625" level="0" outlineLevel="0"/>
    <col min="221" max="221" customWidth="1" width="9.140625" level="0" outlineLevel="0"/>
    <col min="222" max="222" customWidth="1" width="9.140625" level="0" outlineLevel="0"/>
    <col min="223" max="223" customWidth="1" width="9.140625" level="0" outlineLevel="0"/>
    <col min="224" max="224" customWidth="1" width="9.140625" level="0" outlineLevel="0"/>
    <col min="225" max="225" customWidth="1" width="9.140625" level="0" outlineLevel="0"/>
    <col min="226" max="226" customWidth="1" width="9.140625" level="0" outlineLevel="0"/>
    <col min="227" max="227" customWidth="1" width="9.140625" level="0" outlineLevel="0"/>
    <col min="228" max="228" customWidth="1" width="9.140625" level="0" outlineLevel="0"/>
    <col min="229" max="229" customWidth="1" width="9.140625" level="0" outlineLevel="0"/>
    <col min="230" max="230" customWidth="1" width="9.140625" level="0" outlineLevel="0"/>
    <col min="231" max="231" customWidth="1" width="9.140625" level="0" outlineLevel="0"/>
    <col min="232" max="232" customWidth="1" width="9.140625" level="0" outlineLevel="0"/>
    <col min="233" max="233" customWidth="1" width="9.140625" level="0" outlineLevel="0"/>
    <col min="234" max="234" customWidth="1" width="9.140625" level="0" outlineLevel="0"/>
    <col min="235" max="235" customWidth="1" width="9.140625" level="0" outlineLevel="0"/>
    <col min="236" max="236" customWidth="1" width="9.140625" level="0" outlineLevel="0"/>
    <col min="237" max="237" customWidth="1" width="9.140625" level="0" outlineLevel="0"/>
    <col min="238" max="238" customWidth="1" width="9.140625" level="0" outlineLevel="0"/>
    <col min="239" max="239" customWidth="1" width="9.140625" level="0" outlineLevel="0"/>
    <col min="240" max="240" customWidth="1" width="9.140625" level="0" outlineLevel="0"/>
    <col min="241" max="241" customWidth="1" width="9.140625" level="0" outlineLevel="0"/>
    <col min="242" max="242" customWidth="1" width="9.140625" level="0" outlineLevel="0"/>
    <col min="243" max="243" customWidth="1" width="9.140625" level="0" outlineLevel="0"/>
    <col min="244" max="244" customWidth="1" width="9.140625" level="0" outlineLevel="0"/>
    <col min="245" max="245" customWidth="1" width="9.140625" level="0" outlineLevel="0"/>
    <col min="246" max="246" customWidth="1" width="9.140625" level="0" outlineLevel="0"/>
    <col min="247" max="247" customWidth="1" width="9.140625" level="0" outlineLevel="0"/>
    <col min="248" max="248" customWidth="1" width="9.140625" level="0" outlineLevel="0"/>
    <col min="249" max="249" customWidth="1" width="9.140625" level="0" outlineLevel="0"/>
    <col min="250" max="250" customWidth="1" width="9.140625" level="0" outlineLevel="0"/>
    <col min="251" max="251" customWidth="1" width="9.140625" level="0" outlineLevel="0"/>
    <col min="252" max="252" customWidth="1" width="9.140625" level="0" outlineLevel="0"/>
    <col min="253" max="253" customWidth="1" width="9.140625" level="0" outlineLevel="0"/>
    <col min="254" max="254" customWidth="1" width="9.140625" level="0" outlineLevel="0"/>
    <col min="255" max="255" customWidth="1" width="9.140625" level="0" outlineLevel="0"/>
    <col min="256" max="256" customWidth="1" width="9.140625" level="0" outlineLevel="0"/>
    <col min="257" max="257" customWidth="1" width="9.140625" level="0" outlineLevel="0"/>
  </cols>
  <sheetData>
    <row r="1" ht="15" customHeight="1">
      <c r="A1" t="str">
        <v>Объект капитального строительства:</v>
      </c>
    </row>
    <row r="2" ht="60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 ht="12.949999999999998" customHeight="1">
      <c r="A3" t="str">
        <v>Заказчик:</v>
      </c>
    </row>
    <row r="4" ht="15" customHeight="1">
      <c r="A4" t="str">
        <f>'Лист1'!A4</f>
        <v xml:space="preserve">МКС – филиал ПАО «Россети Московский регион» </v>
      </c>
    </row>
    <row r="5" ht="15" customHeight="1">
      <c r="A5" t="str">
        <v>Подрядная организация:</v>
      </c>
    </row>
    <row r="6" ht="15" customHeight="1">
      <c r="A6" t="str">
        <f>'Лист1'!A7</f>
        <v xml:space="preserve">ООО «СМК» </v>
      </c>
    </row>
    <row r="7" ht="8.1" customHeight="1"/>
    <row r="8" ht="15" customHeight="1">
      <c r="A8" t="str">
        <v>АКТ</v>
      </c>
    </row>
    <row r="9" ht="15" customHeight="1">
      <c r="A9" t="str">
        <v>ВНЕШНЕГО ОСМОТРА ПАРТИИ ТРУБ</v>
      </c>
    </row>
    <row r="10" ht="15" customHeight="1">
      <c r="A10" t="str">
        <f>'Лист1'!B83</f>
        <v>№1/1/РЭР</v>
      </c>
      <c r="L10" s="1">
        <f>'Лист1'!E83</f>
        <v>45960</v>
      </c>
    </row>
    <row r="11" ht="8.1" customHeight="1"/>
    <row r="12" ht="15" customHeight="1">
      <c r="A12" t="str">
        <v>Комиссия в составе представителей:</v>
      </c>
    </row>
    <row r="13" ht="8.1" customHeight="1"/>
    <row r="14" ht="15" customHeight="1">
      <c r="A14" t="str">
        <v xml:space="preserve">Представители заказчика: </v>
      </c>
    </row>
    <row r="15" ht="15" customHeight="1">
      <c r="A15" t="str">
        <f>'Лист1'!A14</f>
        <v>Заместитель начальника УКС ЮВО МКС филиал ПАО «РОССЕТИ МОСКОВСКИЙ РЕГИОН» Гусев П.А.</v>
      </c>
    </row>
    <row r="16" ht="15" customHeight="1">
      <c r="A16" t="str">
        <f>'Лист1'!A31</f>
        <v>Старший мастер 7 РЭР УКС ЮВО МКС филиал ПАО «РОССЕТИ МОСКОВСКИЙ РЕГИОН» Рящиков М.Ю.</v>
      </c>
    </row>
    <row r="17" ht="15" customHeight="1">
      <c r="A17" t="str">
        <v xml:space="preserve">Представители подрядной организации: </v>
      </c>
    </row>
    <row r="18" ht="15" customHeight="1">
      <c r="A18" t="str">
        <f>'Лист1'!A17</f>
        <v xml:space="preserve">Заместитель генерального директора по развитию ООО "СМК" Прошин Н.Н., </v>
      </c>
    </row>
    <row r="19" ht="15" customHeight="1">
      <c r="A19" t="str">
        <f>'Лист1'!A20</f>
        <v>Зам. начальника ПТО ООО "СМК" Тишков В.А., С-77-233823 от 25.05.2021г.</v>
      </c>
    </row>
    <row r="20" ht="15" customHeight="1">
      <c r="A20" t="str">
        <v xml:space="preserve">Представитель монтажной организации: </v>
      </c>
    </row>
    <row r="21" ht="15" customHeight="1">
      <c r="A21" t="str">
        <f>'Лист1'!A26</f>
        <v>Главный инженер ООО «СКМ-ГРУПП» Картавченко А.Л.,</v>
      </c>
    </row>
    <row r="22" ht="15" customHeight="1"/>
    <row r="23" ht="15" customHeight="1">
      <c r="A23" t="str">
        <v xml:space="preserve">Составили настоящий АКТ о том, что произведен внешний осмотр труб для закрытого перехода методом ГНБ: </v>
      </c>
    </row>
    <row r="24" ht="15" customHeight="1">
      <c r="A24" t="str">
        <v>Номер закрытого перехода:</v>
      </c>
      <c r="F24" t="str">
        <f>'Лист1'!C49</f>
        <v xml:space="preserve">№1 </v>
      </c>
    </row>
    <row r="25" ht="15" customHeight="1">
      <c r="A25" t="str">
        <v>Расположенном по адресу:</v>
      </c>
      <c r="F25" t="str">
        <f>'Лист1'!C48</f>
        <v>г. Москва, Салтыковская ул. д.5А</v>
      </c>
    </row>
    <row r="26" ht="15" customHeight="1">
      <c r="A26" t="str">
        <v>Произведен внешний осмотр трубы:</v>
      </c>
      <c r="F26" t="str">
        <f>'Лист1'!C61</f>
        <v>ЭЛЕКТРОПАЙП ОС РС 160х8.9 SN16-N F90 T120</v>
      </c>
      <c r="O26" t="str">
        <v>ТРУБА</v>
      </c>
    </row>
    <row r="27" ht="15" customHeight="1"/>
    <row r="28" ht="15" customHeight="1">
      <c r="A28" t="str">
        <v>Предъявлены документы подтверждающие соответствие трубы:</v>
      </c>
    </row>
    <row r="29" ht="15" customHeight="1">
      <c r="A29" t="str">
        <f>'Лист1'!C62</f>
        <v xml:space="preserve">Паспорт качества №12514 от 09.10.2025г; Сертификат соответствия №РОСС RU.HB24.АПТС H00165/24 до 20.02.2029г.  </v>
      </c>
    </row>
    <row r="30" ht="15" customHeight="1"/>
    <row r="31" ht="15" customHeight="1">
      <c r="A31" t="str">
        <v>Заключение:</v>
      </c>
    </row>
    <row r="32">
      <c r="A32" t="str">
        <v>На трубе отсутствуют визуальные повреждения, маркировка соответствует предъевленным документам</v>
      </c>
    </row>
    <row r="33" ht="15" customHeight="1"/>
    <row r="34" ht="15" customHeight="1">
      <c r="A34" t="str">
        <v xml:space="preserve">Представители заказчика: </v>
      </c>
    </row>
    <row r="35" ht="20.1" customHeight="1">
      <c r="A35" t="str">
        <f>'Лист1'!B35</f>
        <v>Гусев П.А.</v>
      </c>
    </row>
    <row r="36" ht="20.1" customHeight="1">
      <c r="A36" t="str">
        <f>'Лист1'!B45</f>
        <v>Рящиков М.Ю.</v>
      </c>
    </row>
    <row r="37" ht="15" customHeight="1">
      <c r="A37" t="str">
        <v xml:space="preserve">Представители подрядной организации: </v>
      </c>
    </row>
    <row r="38" ht="20.1" customHeight="1">
      <c r="A38" t="str">
        <f>'Лист1'!B37</f>
        <v>Прошин Н.Н.</v>
      </c>
    </row>
    <row r="39" ht="20.1" customHeight="1">
      <c r="A39" t="str">
        <f>'Лист1'!B39</f>
        <v>Тишков В.А.</v>
      </c>
    </row>
    <row r="40" ht="15" customHeight="1">
      <c r="A40" t="str">
        <v xml:space="preserve">Представитель монтажной организации: </v>
      </c>
    </row>
    <row r="41" ht="20.1" customHeight="1">
      <c r="A41" t="str">
        <f>'Лист1'!B43</f>
        <v>Картавченко А.Л.</v>
      </c>
    </row>
  </sheetData>
  <mergeCells count="13">
    <mergeCell ref="A2:N2"/>
    <mergeCell ref="A4:N4"/>
    <mergeCell ref="A8:N8"/>
    <mergeCell ref="A9:N9"/>
    <mergeCell ref="L10:N10"/>
    <mergeCell ref="A6:N6"/>
    <mergeCell ref="A21:N21"/>
    <mergeCell ref="A41:N41"/>
    <mergeCell ref="A16:N16"/>
    <mergeCell ref="A19:N19"/>
    <mergeCell ref="A29:N29"/>
    <mergeCell ref="A15:N15"/>
    <mergeCell ref="A18:N18"/>
  </mergeCells>
  <pageMargins left="0.25" right="0.25" top="0.75" bottom="0.75" header="0.3" footer="0.3"/>
  <ignoredErrors>
    <ignoredError numberStoredAsText="1" sqref="A1:AA4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A43"/>
  <sheetViews>
    <sheetView workbookViewId="0" rightToLeft="0"/>
  </sheetViews>
  <cols>
    <col min="1" max="1" customWidth="1" width="7.7109375" level="0" outlineLevel="0"/>
    <col min="2" max="2" customWidth="1" width="7.7109375" level="0" outlineLevel="0"/>
    <col min="3" max="3" customWidth="1" width="7.7109375" level="0" outlineLevel="0"/>
    <col min="4" max="4" customWidth="1" width="7.7109375" level="0" outlineLevel="0"/>
    <col min="5" max="5" customWidth="1" width="7.7109375" level="0" outlineLevel="0"/>
    <col min="6" max="6" customWidth="1" width="7.7109375" level="0" outlineLevel="0"/>
    <col min="7" max="7" customWidth="1" width="7.7109375" level="0" outlineLevel="0"/>
    <col min="8" max="8" customWidth="1" width="7.7109375" level="0" outlineLevel="0"/>
    <col min="9" max="9" customWidth="1" width="7.7109375" level="0" outlineLevel="0"/>
    <col min="10" max="10" customWidth="1" width="7.7109375" level="0" outlineLevel="0"/>
    <col min="11" max="11" customWidth="1" width="7.7109375" level="0" outlineLevel="0"/>
    <col min="12" max="12" customWidth="1" width="7.7109375" level="0" outlineLevel="0"/>
    <col min="13" max="13" customWidth="1" width="7.7109375" level="0" outlineLevel="0"/>
    <col min="14" max="14" customWidth="1" width="7.7109375" level="0" outlineLevel="0"/>
    <col min="15" max="15" customWidth="1" width="9.140625" level="0" outlineLevel="0"/>
    <col min="16" max="16" customWidth="1" width="9.140625" level="0" outlineLevel="0"/>
    <col min="17" max="17" customWidth="1" width="9.140625" level="0" outlineLevel="0"/>
    <col min="18" max="18" customWidth="1" width="9.140625" level="0" outlineLevel="0"/>
    <col min="19" max="19" customWidth="1" width="9.140625" level="0" outlineLevel="0"/>
    <col min="20" max="20" customWidth="1" width="9.140625" level="0" outlineLevel="0"/>
    <col min="21" max="21" customWidth="1" width="9.140625" level="0" outlineLevel="0"/>
    <col min="22" max="22" customWidth="1" width="9.140625" level="0" outlineLevel="0"/>
    <col min="23" max="23" customWidth="1" width="9.140625" level="0" outlineLevel="0"/>
    <col min="24" max="24" customWidth="1" width="9.140625" level="0" outlineLevel="0"/>
    <col min="25" max="25" customWidth="1" width="9.140625" level="0" outlineLevel="0"/>
    <col min="26" max="26" customWidth="1" width="9.140625" level="0" outlineLevel="0"/>
    <col min="27" max="27" customWidth="1" width="9.140625" level="0" outlineLevel="0"/>
    <col min="28" max="28" customWidth="1" width="9.140625" level="0" outlineLevel="0"/>
    <col min="29" max="29" customWidth="1" width="9.140625" level="0" outlineLevel="0"/>
    <col min="30" max="30" customWidth="1" width="9.140625" level="0" outlineLevel="0"/>
    <col min="31" max="31" customWidth="1" width="9.140625" level="0" outlineLevel="0"/>
    <col min="32" max="32" customWidth="1" width="9.140625" level="0" outlineLevel="0"/>
    <col min="33" max="33" customWidth="1" width="9.140625" level="0" outlineLevel="0"/>
    <col min="34" max="34" customWidth="1" width="9.140625" level="0" outlineLevel="0"/>
    <col min="35" max="35" customWidth="1" width="9.140625" level="0" outlineLevel="0"/>
    <col min="36" max="36" customWidth="1" width="9.140625" level="0" outlineLevel="0"/>
    <col min="37" max="37" customWidth="1" width="9.140625" level="0" outlineLevel="0"/>
    <col min="38" max="38" customWidth="1" width="9.140625" level="0" outlineLevel="0"/>
    <col min="39" max="39" customWidth="1" width="9.140625" level="0" outlineLevel="0"/>
    <col min="40" max="40" customWidth="1" width="9.140625" level="0" outlineLevel="0"/>
    <col min="41" max="41" customWidth="1" width="9.140625" level="0" outlineLevel="0"/>
    <col min="42" max="42" customWidth="1" width="9.140625" level="0" outlineLevel="0"/>
    <col min="43" max="43" customWidth="1" width="9.140625" level="0" outlineLevel="0"/>
    <col min="44" max="44" customWidth="1" width="9.140625" level="0" outlineLevel="0"/>
    <col min="45" max="45" customWidth="1" width="9.140625" level="0" outlineLevel="0"/>
    <col min="46" max="46" customWidth="1" width="9.140625" level="0" outlineLevel="0"/>
    <col min="47" max="47" customWidth="1" width="9.140625" level="0" outlineLevel="0"/>
    <col min="48" max="48" customWidth="1" width="9.140625" level="0" outlineLevel="0"/>
    <col min="49" max="49" customWidth="1" width="9.140625" level="0" outlineLevel="0"/>
    <col min="50" max="50" customWidth="1" width="9.140625" level="0" outlineLevel="0"/>
    <col min="51" max="51" customWidth="1" width="9.140625" level="0" outlineLevel="0"/>
    <col min="52" max="52" customWidth="1" width="9.140625" level="0" outlineLevel="0"/>
    <col min="53" max="53" customWidth="1" width="9.140625" level="0" outlineLevel="0"/>
    <col min="54" max="54" customWidth="1" width="9.140625" level="0" outlineLevel="0"/>
    <col min="55" max="55" customWidth="1" width="9.140625" level="0" outlineLevel="0"/>
    <col min="56" max="56" customWidth="1" width="9.140625" level="0" outlineLevel="0"/>
    <col min="57" max="57" customWidth="1" width="9.140625" level="0" outlineLevel="0"/>
    <col min="58" max="58" customWidth="1" width="9.140625" level="0" outlineLevel="0"/>
    <col min="59" max="59" customWidth="1" width="9.140625" level="0" outlineLevel="0"/>
    <col min="60" max="60" customWidth="1" width="9.140625" level="0" outlineLevel="0"/>
    <col min="61" max="61" customWidth="1" width="9.140625" level="0" outlineLevel="0"/>
    <col min="62" max="62" customWidth="1" width="9.140625" level="0" outlineLevel="0"/>
    <col min="63" max="63" customWidth="1" width="9.140625" level="0" outlineLevel="0"/>
    <col min="64" max="64" customWidth="1" width="9.140625" level="0" outlineLevel="0"/>
    <col min="65" max="65" customWidth="1" width="9.140625" level="0" outlineLevel="0"/>
    <col min="66" max="66" customWidth="1" width="9.140625" level="0" outlineLevel="0"/>
    <col min="67" max="67" customWidth="1" width="9.140625" level="0" outlineLevel="0"/>
    <col min="68" max="68" customWidth="1" width="9.140625" level="0" outlineLevel="0"/>
    <col min="69" max="69" customWidth="1" width="9.140625" level="0" outlineLevel="0"/>
    <col min="70" max="70" customWidth="1" width="9.140625" level="0" outlineLevel="0"/>
    <col min="71" max="71" customWidth="1" width="9.140625" level="0" outlineLevel="0"/>
    <col min="72" max="72" customWidth="1" width="9.140625" level="0" outlineLevel="0"/>
    <col min="73" max="73" customWidth="1" width="9.140625" level="0" outlineLevel="0"/>
    <col min="74" max="74" customWidth="1" width="9.140625" level="0" outlineLevel="0"/>
    <col min="75" max="75" customWidth="1" width="9.140625" level="0" outlineLevel="0"/>
    <col min="76" max="76" customWidth="1" width="9.140625" level="0" outlineLevel="0"/>
    <col min="77" max="77" customWidth="1" width="9.140625" level="0" outlineLevel="0"/>
    <col min="78" max="78" customWidth="1" width="9.140625" level="0" outlineLevel="0"/>
    <col min="79" max="79" customWidth="1" width="9.140625" level="0" outlineLevel="0"/>
    <col min="80" max="80" customWidth="1" width="9.140625" level="0" outlineLevel="0"/>
    <col min="81" max="81" customWidth="1" width="9.140625" level="0" outlineLevel="0"/>
    <col min="82" max="82" customWidth="1" width="9.140625" level="0" outlineLevel="0"/>
    <col min="83" max="83" customWidth="1" width="9.140625" level="0" outlineLevel="0"/>
    <col min="84" max="84" customWidth="1" width="9.140625" level="0" outlineLevel="0"/>
    <col min="85" max="85" customWidth="1" width="9.140625" level="0" outlineLevel="0"/>
    <col min="86" max="86" customWidth="1" width="9.140625" level="0" outlineLevel="0"/>
    <col min="87" max="87" customWidth="1" width="9.140625" level="0" outlineLevel="0"/>
    <col min="88" max="88" customWidth="1" width="9.140625" level="0" outlineLevel="0"/>
    <col min="89" max="89" customWidth="1" width="9.140625" level="0" outlineLevel="0"/>
    <col min="90" max="90" customWidth="1" width="9.140625" level="0" outlineLevel="0"/>
    <col min="91" max="91" customWidth="1" width="9.140625" level="0" outlineLevel="0"/>
    <col min="92" max="92" customWidth="1" width="9.140625" level="0" outlineLevel="0"/>
    <col min="93" max="93" customWidth="1" width="9.140625" level="0" outlineLevel="0"/>
    <col min="94" max="94" customWidth="1" width="9.140625" level="0" outlineLevel="0"/>
    <col min="95" max="95" customWidth="1" width="9.140625" level="0" outlineLevel="0"/>
    <col min="96" max="96" customWidth="1" width="9.140625" level="0" outlineLevel="0"/>
    <col min="97" max="97" customWidth="1" width="9.140625" level="0" outlineLevel="0"/>
    <col min="98" max="98" customWidth="1" width="9.140625" level="0" outlineLevel="0"/>
    <col min="99" max="99" customWidth="1" width="9.140625" level="0" outlineLevel="0"/>
    <col min="100" max="100" customWidth="1" width="9.140625" level="0" outlineLevel="0"/>
    <col min="101" max="101" customWidth="1" width="9.140625" level="0" outlineLevel="0"/>
    <col min="102" max="102" customWidth="1" width="9.140625" level="0" outlineLevel="0"/>
    <col min="103" max="103" customWidth="1" width="9.140625" level="0" outlineLevel="0"/>
    <col min="104" max="104" customWidth="1" width="9.140625" level="0" outlineLevel="0"/>
    <col min="105" max="105" customWidth="1" width="9.140625" level="0" outlineLevel="0"/>
    <col min="106" max="106" customWidth="1" width="9.140625" level="0" outlineLevel="0"/>
    <col min="107" max="107" customWidth="1" width="9.140625" level="0" outlineLevel="0"/>
    <col min="108" max="108" customWidth="1" width="9.140625" level="0" outlineLevel="0"/>
    <col min="109" max="109" customWidth="1" width="9.140625" level="0" outlineLevel="0"/>
    <col min="110" max="110" customWidth="1" width="9.140625" level="0" outlineLevel="0"/>
    <col min="111" max="111" customWidth="1" width="9.140625" level="0" outlineLevel="0"/>
    <col min="112" max="112" customWidth="1" width="9.140625" level="0" outlineLevel="0"/>
    <col min="113" max="113" customWidth="1" width="9.140625" level="0" outlineLevel="0"/>
    <col min="114" max="114" customWidth="1" width="9.140625" level="0" outlineLevel="0"/>
    <col min="115" max="115" customWidth="1" width="9.140625" level="0" outlineLevel="0"/>
    <col min="116" max="116" customWidth="1" width="9.140625" level="0" outlineLevel="0"/>
    <col min="117" max="117" customWidth="1" width="9.140625" level="0" outlineLevel="0"/>
    <col min="118" max="118" customWidth="1" width="9.140625" level="0" outlineLevel="0"/>
    <col min="119" max="119" customWidth="1" width="9.140625" level="0" outlineLevel="0"/>
    <col min="120" max="120" customWidth="1" width="9.140625" level="0" outlineLevel="0"/>
    <col min="121" max="121" customWidth="1" width="9.140625" level="0" outlineLevel="0"/>
    <col min="122" max="122" customWidth="1" width="9.140625" level="0" outlineLevel="0"/>
    <col min="123" max="123" customWidth="1" width="9.140625" level="0" outlineLevel="0"/>
    <col min="124" max="124" customWidth="1" width="9.140625" level="0" outlineLevel="0"/>
    <col min="125" max="125" customWidth="1" width="9.140625" level="0" outlineLevel="0"/>
    <col min="126" max="126" customWidth="1" width="9.140625" level="0" outlineLevel="0"/>
    <col min="127" max="127" customWidth="1" width="9.140625" level="0" outlineLevel="0"/>
    <col min="128" max="128" customWidth="1" width="9.140625" level="0" outlineLevel="0"/>
    <col min="129" max="129" customWidth="1" width="9.140625" level="0" outlineLevel="0"/>
    <col min="130" max="130" customWidth="1" width="9.140625" level="0" outlineLevel="0"/>
    <col min="131" max="131" customWidth="1" width="9.140625" level="0" outlineLevel="0"/>
    <col min="132" max="132" customWidth="1" width="9.140625" level="0" outlineLevel="0"/>
    <col min="133" max="133" customWidth="1" width="9.140625" level="0" outlineLevel="0"/>
    <col min="134" max="134" customWidth="1" width="9.140625" level="0" outlineLevel="0"/>
    <col min="135" max="135" customWidth="1" width="9.140625" level="0" outlineLevel="0"/>
    <col min="136" max="136" customWidth="1" width="9.140625" level="0" outlineLevel="0"/>
    <col min="137" max="137" customWidth="1" width="9.140625" level="0" outlineLevel="0"/>
    <col min="138" max="138" customWidth="1" width="9.140625" level="0" outlineLevel="0"/>
    <col min="139" max="139" customWidth="1" width="9.140625" level="0" outlineLevel="0"/>
    <col min="140" max="140" customWidth="1" width="9.140625" level="0" outlineLevel="0"/>
    <col min="141" max="141" customWidth="1" width="9.140625" level="0" outlineLevel="0"/>
    <col min="142" max="142" customWidth="1" width="9.140625" level="0" outlineLevel="0"/>
    <col min="143" max="143" customWidth="1" width="9.140625" level="0" outlineLevel="0"/>
    <col min="144" max="144" customWidth="1" width="9.140625" level="0" outlineLevel="0"/>
    <col min="145" max="145" customWidth="1" width="9.140625" level="0" outlineLevel="0"/>
    <col min="146" max="146" customWidth="1" width="9.140625" level="0" outlineLevel="0"/>
    <col min="147" max="147" customWidth="1" width="9.140625" level="0" outlineLevel="0"/>
    <col min="148" max="148" customWidth="1" width="9.140625" level="0" outlineLevel="0"/>
    <col min="149" max="149" customWidth="1" width="9.140625" level="0" outlineLevel="0"/>
    <col min="150" max="150" customWidth="1" width="9.140625" level="0" outlineLevel="0"/>
    <col min="151" max="151" customWidth="1" width="9.140625" level="0" outlineLevel="0"/>
    <col min="152" max="152" customWidth="1" width="9.140625" level="0" outlineLevel="0"/>
    <col min="153" max="153" customWidth="1" width="9.140625" level="0" outlineLevel="0"/>
    <col min="154" max="154" customWidth="1" width="9.140625" level="0" outlineLevel="0"/>
    <col min="155" max="155" customWidth="1" width="9.140625" level="0" outlineLevel="0"/>
    <col min="156" max="156" customWidth="1" width="9.140625" level="0" outlineLevel="0"/>
    <col min="157" max="157" customWidth="1" width="9.140625" level="0" outlineLevel="0"/>
    <col min="158" max="158" customWidth="1" width="9.140625" level="0" outlineLevel="0"/>
    <col min="159" max="159" customWidth="1" width="9.140625" level="0" outlineLevel="0"/>
    <col min="160" max="160" customWidth="1" width="9.140625" level="0" outlineLevel="0"/>
    <col min="161" max="161" customWidth="1" width="9.140625" level="0" outlineLevel="0"/>
    <col min="162" max="162" customWidth="1" width="9.140625" level="0" outlineLevel="0"/>
    <col min="163" max="163" customWidth="1" width="9.140625" level="0" outlineLevel="0"/>
    <col min="164" max="164" customWidth="1" width="9.140625" level="0" outlineLevel="0"/>
    <col min="165" max="165" customWidth="1" width="9.140625" level="0" outlineLevel="0"/>
    <col min="166" max="166" customWidth="1" width="9.140625" level="0" outlineLevel="0"/>
    <col min="167" max="167" customWidth="1" width="9.140625" level="0" outlineLevel="0"/>
    <col min="168" max="168" customWidth="1" width="9.140625" level="0" outlineLevel="0"/>
    <col min="169" max="169" customWidth="1" width="9.140625" level="0" outlineLevel="0"/>
    <col min="170" max="170" customWidth="1" width="9.140625" level="0" outlineLevel="0"/>
    <col min="171" max="171" customWidth="1" width="9.140625" level="0" outlineLevel="0"/>
    <col min="172" max="172" customWidth="1" width="9.140625" level="0" outlineLevel="0"/>
    <col min="173" max="173" customWidth="1" width="9.140625" level="0" outlineLevel="0"/>
    <col min="174" max="174" customWidth="1" width="9.140625" level="0" outlineLevel="0"/>
    <col min="175" max="175" customWidth="1" width="9.140625" level="0" outlineLevel="0"/>
    <col min="176" max="176" customWidth="1" width="9.140625" level="0" outlineLevel="0"/>
    <col min="177" max="177" customWidth="1" width="9.140625" level="0" outlineLevel="0"/>
    <col min="178" max="178" customWidth="1" width="9.140625" level="0" outlineLevel="0"/>
    <col min="179" max="179" customWidth="1" width="9.140625" level="0" outlineLevel="0"/>
    <col min="180" max="180" customWidth="1" width="9.140625" level="0" outlineLevel="0"/>
    <col min="181" max="181" customWidth="1" width="9.140625" level="0" outlineLevel="0"/>
    <col min="182" max="182" customWidth="1" width="9.140625" level="0" outlineLevel="0"/>
    <col min="183" max="183" customWidth="1" width="9.140625" level="0" outlineLevel="0"/>
    <col min="184" max="184" customWidth="1" width="9.140625" level="0" outlineLevel="0"/>
    <col min="185" max="185" customWidth="1" width="9.140625" level="0" outlineLevel="0"/>
    <col min="186" max="186" customWidth="1" width="9.140625" level="0" outlineLevel="0"/>
    <col min="187" max="187" customWidth="1" width="9.140625" level="0" outlineLevel="0"/>
    <col min="188" max="188" customWidth="1" width="9.140625" level="0" outlineLevel="0"/>
    <col min="189" max="189" customWidth="1" width="9.140625" level="0" outlineLevel="0"/>
    <col min="190" max="190" customWidth="1" width="9.140625" level="0" outlineLevel="0"/>
    <col min="191" max="191" customWidth="1" width="9.140625" level="0" outlineLevel="0"/>
    <col min="192" max="192" customWidth="1" width="9.140625" level="0" outlineLevel="0"/>
    <col min="193" max="193" customWidth="1" width="9.140625" level="0" outlineLevel="0"/>
    <col min="194" max="194" customWidth="1" width="9.140625" level="0" outlineLevel="0"/>
    <col min="195" max="195" customWidth="1" width="9.140625" level="0" outlineLevel="0"/>
    <col min="196" max="196" customWidth="1" width="9.140625" level="0" outlineLevel="0"/>
    <col min="197" max="197" customWidth="1" width="9.140625" level="0" outlineLevel="0"/>
    <col min="198" max="198" customWidth="1" width="9.140625" level="0" outlineLevel="0"/>
    <col min="199" max="199" customWidth="1" width="9.140625" level="0" outlineLevel="0"/>
    <col min="200" max="200" customWidth="1" width="9.140625" level="0" outlineLevel="0"/>
    <col min="201" max="201" customWidth="1" width="9.140625" level="0" outlineLevel="0"/>
    <col min="202" max="202" customWidth="1" width="9.140625" level="0" outlineLevel="0"/>
    <col min="203" max="203" customWidth="1" width="9.140625" level="0" outlineLevel="0"/>
    <col min="204" max="204" customWidth="1" width="9.140625" level="0" outlineLevel="0"/>
    <col min="205" max="205" customWidth="1" width="9.140625" level="0" outlineLevel="0"/>
    <col min="206" max="206" customWidth="1" width="9.140625" level="0" outlineLevel="0"/>
    <col min="207" max="207" customWidth="1" width="9.140625" level="0" outlineLevel="0"/>
    <col min="208" max="208" customWidth="1" width="9.140625" level="0" outlineLevel="0"/>
    <col min="209" max="209" customWidth="1" width="9.140625" level="0" outlineLevel="0"/>
    <col min="210" max="210" customWidth="1" width="9.140625" level="0" outlineLevel="0"/>
    <col min="211" max="211" customWidth="1" width="9.140625" level="0" outlineLevel="0"/>
    <col min="212" max="212" customWidth="1" width="9.140625" level="0" outlineLevel="0"/>
    <col min="213" max="213" customWidth="1" width="9.140625" level="0" outlineLevel="0"/>
    <col min="214" max="214" customWidth="1" width="9.140625" level="0" outlineLevel="0"/>
    <col min="215" max="215" customWidth="1" width="9.140625" level="0" outlineLevel="0"/>
    <col min="216" max="216" customWidth="1" width="9.140625" level="0" outlineLevel="0"/>
    <col min="217" max="217" customWidth="1" width="9.140625" level="0" outlineLevel="0"/>
    <col min="218" max="218" customWidth="1" width="9.140625" level="0" outlineLevel="0"/>
    <col min="219" max="219" customWidth="1" width="9.140625" level="0" outlineLevel="0"/>
    <col min="220" max="220" customWidth="1" width="9.140625" level="0" outlineLevel="0"/>
    <col min="221" max="221" customWidth="1" width="9.140625" level="0" outlineLevel="0"/>
    <col min="222" max="222" customWidth="1" width="9.140625" level="0" outlineLevel="0"/>
    <col min="223" max="223" customWidth="1" width="9.140625" level="0" outlineLevel="0"/>
    <col min="224" max="224" customWidth="1" width="9.140625" level="0" outlineLevel="0"/>
    <col min="225" max="225" customWidth="1" width="9.140625" level="0" outlineLevel="0"/>
    <col min="226" max="226" customWidth="1" width="9.140625" level="0" outlineLevel="0"/>
    <col min="227" max="227" customWidth="1" width="9.140625" level="0" outlineLevel="0"/>
    <col min="228" max="228" customWidth="1" width="9.140625" level="0" outlineLevel="0"/>
    <col min="229" max="229" customWidth="1" width="9.140625" level="0" outlineLevel="0"/>
    <col min="230" max="230" customWidth="1" width="9.140625" level="0" outlineLevel="0"/>
    <col min="231" max="231" customWidth="1" width="9.140625" level="0" outlineLevel="0"/>
    <col min="232" max="232" customWidth="1" width="9.140625" level="0" outlineLevel="0"/>
    <col min="233" max="233" customWidth="1" width="9.140625" level="0" outlineLevel="0"/>
    <col min="234" max="234" customWidth="1" width="9.140625" level="0" outlineLevel="0"/>
    <col min="235" max="235" customWidth="1" width="9.140625" level="0" outlineLevel="0"/>
    <col min="236" max="236" customWidth="1" width="9.140625" level="0" outlineLevel="0"/>
    <col min="237" max="237" customWidth="1" width="9.140625" level="0" outlineLevel="0"/>
    <col min="238" max="238" customWidth="1" width="9.140625" level="0" outlineLevel="0"/>
    <col min="239" max="239" customWidth="1" width="9.140625" level="0" outlineLevel="0"/>
    <col min="240" max="240" customWidth="1" width="9.140625" level="0" outlineLevel="0"/>
    <col min="241" max="241" customWidth="1" width="9.140625" level="0" outlineLevel="0"/>
    <col min="242" max="242" customWidth="1" width="9.140625" level="0" outlineLevel="0"/>
    <col min="243" max="243" customWidth="1" width="9.140625" level="0" outlineLevel="0"/>
    <col min="244" max="244" customWidth="1" width="9.140625" level="0" outlineLevel="0"/>
    <col min="245" max="245" customWidth="1" width="9.140625" level="0" outlineLevel="0"/>
    <col min="246" max="246" customWidth="1" width="9.140625" level="0" outlineLevel="0"/>
    <col min="247" max="247" customWidth="1" width="9.140625" level="0" outlineLevel="0"/>
    <col min="248" max="248" customWidth="1" width="9.140625" level="0" outlineLevel="0"/>
    <col min="249" max="249" customWidth="1" width="9.140625" level="0" outlineLevel="0"/>
    <col min="250" max="250" customWidth="1" width="9.140625" level="0" outlineLevel="0"/>
    <col min="251" max="251" customWidth="1" width="9.140625" level="0" outlineLevel="0"/>
    <col min="252" max="252" customWidth="1" width="9.140625" level="0" outlineLevel="0"/>
    <col min="253" max="253" customWidth="1" width="9.140625" level="0" outlineLevel="0"/>
    <col min="254" max="254" customWidth="1" width="9.140625" level="0" outlineLevel="0"/>
    <col min="255" max="255" customWidth="1" width="9.140625" level="0" outlineLevel="0"/>
    <col min="256" max="256" customWidth="1" width="9.140625" level="0" outlineLevel="0"/>
    <col min="257" max="257" customWidth="1" width="9.140625" level="0" outlineLevel="0"/>
  </cols>
  <sheetData>
    <row r="1" ht="15" customHeight="1">
      <c r="A1" t="str">
        <v>Объект капитального строительства:</v>
      </c>
    </row>
    <row r="2" ht="60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 ht="12.949999999999998" customHeight="1">
      <c r="A3" t="str">
        <v>Заказчик:</v>
      </c>
    </row>
    <row r="4" ht="15" customHeight="1">
      <c r="A4" t="str">
        <f>'Лист1'!A4</f>
        <v xml:space="preserve">МКС – филиал ПАО «Россети Московский регион» </v>
      </c>
    </row>
    <row r="5" ht="15" customHeight="1">
      <c r="A5" t="str">
        <v>Подрядная организация:</v>
      </c>
    </row>
    <row r="6" ht="15" customHeight="1">
      <c r="A6" t="str">
        <f>'Лист1'!A7</f>
        <v xml:space="preserve">ООО «СМК» </v>
      </c>
    </row>
    <row r="7" ht="8.1" customHeight="1"/>
    <row r="8" ht="15" customHeight="1">
      <c r="A8" t="str">
        <v>АКТ</v>
      </c>
    </row>
    <row r="9" ht="15" customHeight="1">
      <c r="A9" t="str">
        <v>КОНТРОЛЯ СВАРНЫХ СОЕДИНЕНИЙ</v>
      </c>
    </row>
    <row r="10" ht="15" customHeight="1">
      <c r="A10" t="str">
        <f>'Лист1'!B84</f>
        <v>№1/2/РЭР</v>
      </c>
      <c r="L10" s="1">
        <f>'Лист1'!E84</f>
        <v>45960</v>
      </c>
    </row>
    <row r="11" ht="8.1" customHeight="1"/>
    <row r="12" ht="15" customHeight="1">
      <c r="A12" t="str">
        <v>Комиссия в составе представителей:</v>
      </c>
    </row>
    <row r="13" ht="8.1" customHeight="1"/>
    <row r="14" ht="15" customHeight="1">
      <c r="A14" t="str">
        <v xml:space="preserve">Представители заказчика: </v>
      </c>
    </row>
    <row r="15" ht="15" customHeight="1">
      <c r="A15" t="str">
        <f>'Лист1'!A14</f>
        <v>Заместитель начальника УКС ЮВО МКС филиал ПАО «РОССЕТИ МОСКОВСКИЙ РЕГИОН» Гусев П.А.</v>
      </c>
    </row>
    <row r="16" ht="15" customHeight="1">
      <c r="A16" t="str">
        <f>'Лист1'!A31</f>
        <v>Старший мастер 7 РЭР УКС ЮВО МКС филиал ПАО «РОССЕТИ МОСКОВСКИЙ РЕГИОН» Рящиков М.Ю.</v>
      </c>
    </row>
    <row r="17" ht="15" customHeight="1">
      <c r="A17" t="str">
        <v xml:space="preserve">Представители подрядной организации: </v>
      </c>
    </row>
    <row r="18" ht="15" customHeight="1">
      <c r="A18" t="str">
        <f>'Лист1'!A17</f>
        <v xml:space="preserve">Заместитель генерального директора по развитию ООО "СМК" Прошин Н.Н., </v>
      </c>
    </row>
    <row r="19" ht="15" customHeight="1">
      <c r="A19" t="str">
        <f>'Лист1'!A20</f>
        <v>Зам. начальника ПТО ООО "СМК" Тишков В.А., С-77-233823 от 25.05.2021г.</v>
      </c>
    </row>
    <row r="20" ht="15" customHeight="1">
      <c r="A20" t="str">
        <v xml:space="preserve">Представитель монтажной организации: </v>
      </c>
    </row>
    <row r="21" ht="15" customHeight="1">
      <c r="A21" t="str">
        <f>'Лист1'!A26</f>
        <v>Главный инженер ООО «СКМ-ГРУПП» Картавченко А.Л.,</v>
      </c>
    </row>
    <row r="22" ht="15" customHeight="1"/>
    <row r="23" ht="15" customHeight="1">
      <c r="A23" t="str">
        <v xml:space="preserve">Провела визуальный осмотр группы соединений полиэтиленовых труб для закрытого перехода:  </v>
      </c>
    </row>
    <row r="24" ht="15" customHeight="1">
      <c r="A24" t="str">
        <v>Номер закрытого перехода:</v>
      </c>
      <c r="E24" t="str">
        <f>'Лист1'!C49</f>
        <v xml:space="preserve">№1 </v>
      </c>
    </row>
    <row r="25" ht="15" customHeight="1">
      <c r="A25" t="str">
        <v>Адрес сварки трубопровода:</v>
      </c>
      <c r="E25" t="str">
        <f>'Лист1'!C48</f>
        <v>г. Москва, Салтыковская ул. д.5А</v>
      </c>
    </row>
    <row r="26" ht="15" customHeight="1">
      <c r="A26" t="str">
        <v>Общая длина трубопровода:</v>
      </c>
      <c r="E26">
        <f>'Лист1'!C57</f>
        <v>190.92000000000002</v>
      </c>
    </row>
    <row r="27" ht="15" customHeight="1">
      <c r="A27" t="str">
        <v>Трубопровод собран из труб:</v>
      </c>
      <c r="E27" t="str">
        <f>'Лист1'!C61</f>
        <v>ЭЛЕКТРОПАЙП ОС РС 160х8.9 SN16-N F90 T120</v>
      </c>
    </row>
    <row r="28" ht="15" customHeight="1">
      <c r="A28" t="str">
        <v xml:space="preserve">Соединение труб выполнено </v>
      </c>
      <c r="E28" t="str">
        <v>сваркой по ГОСТ (ТУ) 55276-2012 в соответствии с проектом.</v>
      </c>
    </row>
    <row r="29" ht="15" customHeight="1">
      <c r="A29" t="str">
        <v xml:space="preserve">Выполнено сварных соединений: </v>
      </c>
      <c r="E29" s="2">
        <f>G29*'Лист1'!C54</f>
        <v>12.91</v>
      </c>
      <c r="F29" t="str">
        <v>шт.</v>
      </c>
      <c r="G29" s="2">
        <f>(('Лист1'!C53/12)-1)</f>
        <v>4.303333333333334</v>
      </c>
    </row>
    <row r="30" ht="15" customHeight="1"/>
    <row r="31" ht="15" customHeight="1">
      <c r="A31" t="str">
        <v>Маркировка на трубе соответствует предъявляемым документам:</v>
      </c>
    </row>
    <row r="32" ht="30" customHeight="1">
      <c r="A32" t="str">
        <f>'Лист1'!C62</f>
        <v xml:space="preserve">Паспорт качества №12514 от 09.10.2025г; Сертификат соответствия №РОСС RU.HB24.АПТС H00165/24 до 20.02.2029г.  </v>
      </c>
    </row>
    <row r="33" ht="15" customHeight="1">
      <c r="A33" t="str">
        <v xml:space="preserve">Решение комиссии: </v>
      </c>
    </row>
    <row r="34" ht="30" customHeight="1">
      <c r="A34" t="str">
        <f>CONCATENATE("Разрешается протягивание"," ",'Лист1'!C56," в скважину закрытого перехода"," ",'Лист1'!C49," с усилием тяги не более 30т.",)</f>
        <v>Разрешается протягивание 3(трёх) труб (ЭЛЕКТРОПАЙП ОС РС 160х8.9 SN16-N F90 T120) в скважину закрытого перехода №1  с усилием тяги не более 30т.</v>
      </c>
    </row>
    <row r="35" ht="15" customHeight="1"/>
    <row r="36" ht="15" customHeight="1">
      <c r="A36" t="str">
        <v xml:space="preserve">Представители заказчика: </v>
      </c>
    </row>
    <row r="37" ht="20.1" customHeight="1">
      <c r="A37" t="str">
        <f>'Лист1'!B35</f>
        <v>Гусев П.А.</v>
      </c>
    </row>
    <row r="38" ht="20.1" customHeight="1">
      <c r="A38" t="str">
        <f>'Лист1'!B45</f>
        <v>Рящиков М.Ю.</v>
      </c>
    </row>
    <row r="39" ht="15" customHeight="1">
      <c r="A39" t="str">
        <v xml:space="preserve">Представители подрядной организации: </v>
      </c>
    </row>
    <row r="40" ht="20.1" customHeight="1">
      <c r="A40" t="str">
        <f>'Лист1'!B37</f>
        <v>Прошин Н.Н.</v>
      </c>
    </row>
    <row r="41" ht="20.1" customHeight="1">
      <c r="A41" t="str">
        <f>'Лист1'!B39</f>
        <v>Тишков В.А.</v>
      </c>
    </row>
    <row r="42">
      <c r="A42" t="str">
        <v xml:space="preserve">Представитель монтажной организации: </v>
      </c>
    </row>
    <row r="43" ht="20.1" customHeight="1">
      <c r="A43" t="str">
        <f>'Лист1'!B43</f>
        <v>Картавченко А.Л.</v>
      </c>
    </row>
  </sheetData>
  <mergeCells count="14">
    <mergeCell ref="A2:N2"/>
    <mergeCell ref="A4:N4"/>
    <mergeCell ref="A6:N6"/>
    <mergeCell ref="A8:N8"/>
    <mergeCell ref="A9:N9"/>
    <mergeCell ref="A32:N32"/>
    <mergeCell ref="A43:N43"/>
    <mergeCell ref="A21:N21"/>
    <mergeCell ref="A34:N34"/>
    <mergeCell ref="L10:N10"/>
    <mergeCell ref="A15:N15"/>
    <mergeCell ref="A16:N16"/>
    <mergeCell ref="A18:N18"/>
    <mergeCell ref="A19:N19"/>
  </mergeCells>
  <pageMargins left="0.25" right="0.25" top="0.75" bottom="0.75" header="0.3" footer="0.3"/>
  <ignoredErrors>
    <ignoredError numberStoredAsText="1" sqref="A1:AA4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2"/>
  <sheetViews>
    <sheetView workbookViewId="0" rightToLeft="0"/>
  </sheetViews>
  <cols>
    <col min="1" max="1" customWidth="1" width="7.7109375" level="0" outlineLevel="0"/>
    <col min="2" max="2" customWidth="1" width="7.7109375" level="0" outlineLevel="0"/>
    <col min="3" max="3" customWidth="1" width="7.7109375" level="0" outlineLevel="0"/>
    <col min="4" max="4" customWidth="1" width="7.7109375" level="0" outlineLevel="0"/>
    <col min="5" max="5" customWidth="1" width="7.7109375" level="0" outlineLevel="0"/>
    <col min="6" max="6" customWidth="1" width="7.7109375" level="0" outlineLevel="0"/>
    <col min="7" max="7" customWidth="1" width="7.7109375" level="0" outlineLevel="0"/>
    <col min="8" max="8" customWidth="1" width="7.7109375" level="0" outlineLevel="0"/>
    <col min="9" max="9" customWidth="1" width="7.7109375" level="0" outlineLevel="0"/>
    <col min="10" max="10" customWidth="1" width="7.7109375" level="0" outlineLevel="0"/>
    <col min="11" max="11" customWidth="1" width="7.7109375" level="0" outlineLevel="0"/>
    <col min="12" max="12" customWidth="1" width="7.7109375" level="0" outlineLevel="0"/>
    <col min="13" max="13" customWidth="1" width="7.7109375" level="0" outlineLevel="0"/>
    <col min="14" max="14" customWidth="1" width="7.7109375" level="0" outlineLevel="0"/>
    <col min="15" max="15" customWidth="1" width="9.140625" level="0" outlineLevel="0"/>
    <col min="16" max="16" customWidth="1" width="9.140625" level="0" outlineLevel="0"/>
    <col min="17" max="17" customWidth="1" width="9.140625" level="0" outlineLevel="0"/>
    <col min="18" max="18" customWidth="1" width="9.140625" level="0" outlineLevel="0"/>
    <col min="19" max="19" customWidth="1" width="9.140625" level="0" outlineLevel="0"/>
    <col min="20" max="20" customWidth="1" width="9.140625" level="0" outlineLevel="0"/>
    <col min="21" max="21" customWidth="1" width="9.140625" level="0" outlineLevel="0"/>
    <col min="22" max="22" customWidth="1" width="9.140625" level="0" outlineLevel="0"/>
    <col min="23" max="23" customWidth="1" width="9.140625" level="0" outlineLevel="0"/>
    <col min="24" max="24" customWidth="1" width="9.140625" level="0" outlineLevel="0"/>
    <col min="25" max="25" customWidth="1" width="9.140625" level="0" outlineLevel="0"/>
    <col min="26" max="26" customWidth="1" width="9.140625" level="0" outlineLevel="0"/>
    <col min="27" max="27" customWidth="1" width="9.140625" level="0" outlineLevel="0"/>
    <col min="28" max="28" customWidth="1" width="9.140625" level="0" outlineLevel="0"/>
    <col min="29" max="29" customWidth="1" width="9.140625" level="0" outlineLevel="0"/>
    <col min="30" max="30" customWidth="1" width="9.140625" level="0" outlineLevel="0"/>
    <col min="31" max="31" customWidth="1" width="9.140625" level="0" outlineLevel="0"/>
    <col min="32" max="32" customWidth="1" width="9.140625" level="0" outlineLevel="0"/>
    <col min="33" max="33" customWidth="1" width="9.140625" level="0" outlineLevel="0"/>
    <col min="34" max="34" customWidth="1" width="9.140625" level="0" outlineLevel="0"/>
    <col min="35" max="35" customWidth="1" width="9.140625" level="0" outlineLevel="0"/>
    <col min="36" max="36" customWidth="1" width="9.140625" level="0" outlineLevel="0"/>
    <col min="37" max="37" customWidth="1" width="9.140625" level="0" outlineLevel="0"/>
    <col min="38" max="38" customWidth="1" width="9.140625" level="0" outlineLevel="0"/>
    <col min="39" max="39" customWidth="1" width="9.140625" level="0" outlineLevel="0"/>
    <col min="40" max="40" customWidth="1" width="9.140625" level="0" outlineLevel="0"/>
    <col min="41" max="41" customWidth="1" width="9.140625" level="0" outlineLevel="0"/>
    <col min="42" max="42" customWidth="1" width="9.140625" level="0" outlineLevel="0"/>
    <col min="43" max="43" customWidth="1" width="9.140625" level="0" outlineLevel="0"/>
    <col min="44" max="44" customWidth="1" width="9.140625" level="0" outlineLevel="0"/>
    <col min="45" max="45" customWidth="1" width="9.140625" level="0" outlineLevel="0"/>
    <col min="46" max="46" customWidth="1" width="9.140625" level="0" outlineLevel="0"/>
    <col min="47" max="47" customWidth="1" width="9.140625" level="0" outlineLevel="0"/>
    <col min="48" max="48" customWidth="1" width="9.140625" level="0" outlineLevel="0"/>
    <col min="49" max="49" customWidth="1" width="9.140625" level="0" outlineLevel="0"/>
    <col min="50" max="50" customWidth="1" width="9.140625" level="0" outlineLevel="0"/>
    <col min="51" max="51" customWidth="1" width="9.140625" level="0" outlineLevel="0"/>
    <col min="52" max="52" customWidth="1" width="9.140625" level="0" outlineLevel="0"/>
    <col min="53" max="53" customWidth="1" width="9.140625" level="0" outlineLevel="0"/>
    <col min="54" max="54" customWidth="1" width="9.140625" level="0" outlineLevel="0"/>
    <col min="55" max="55" customWidth="1" width="9.140625" level="0" outlineLevel="0"/>
    <col min="56" max="56" customWidth="1" width="9.140625" level="0" outlineLevel="0"/>
    <col min="57" max="57" customWidth="1" width="9.140625" level="0" outlineLevel="0"/>
    <col min="58" max="58" customWidth="1" width="9.140625" level="0" outlineLevel="0"/>
    <col min="59" max="59" customWidth="1" width="9.140625" level="0" outlineLevel="0"/>
    <col min="60" max="60" customWidth="1" width="9.140625" level="0" outlineLevel="0"/>
    <col min="61" max="61" customWidth="1" width="9.140625" level="0" outlineLevel="0"/>
    <col min="62" max="62" customWidth="1" width="9.140625" level="0" outlineLevel="0"/>
    <col min="63" max="63" customWidth="1" width="9.140625" level="0" outlineLevel="0"/>
    <col min="64" max="64" customWidth="1" width="9.140625" level="0" outlineLevel="0"/>
    <col min="65" max="65" customWidth="1" width="9.140625" level="0" outlineLevel="0"/>
    <col min="66" max="66" customWidth="1" width="9.140625" level="0" outlineLevel="0"/>
    <col min="67" max="67" customWidth="1" width="9.140625" level="0" outlineLevel="0"/>
    <col min="68" max="68" customWidth="1" width="9.140625" level="0" outlineLevel="0"/>
    <col min="69" max="69" customWidth="1" width="9.140625" level="0" outlineLevel="0"/>
    <col min="70" max="70" customWidth="1" width="9.140625" level="0" outlineLevel="0"/>
    <col min="71" max="71" customWidth="1" width="9.140625" level="0" outlineLevel="0"/>
    <col min="72" max="72" customWidth="1" width="9.140625" level="0" outlineLevel="0"/>
    <col min="73" max="73" customWidth="1" width="9.140625" level="0" outlineLevel="0"/>
    <col min="74" max="74" customWidth="1" width="9.140625" level="0" outlineLevel="0"/>
    <col min="75" max="75" customWidth="1" width="9.140625" level="0" outlineLevel="0"/>
    <col min="76" max="76" customWidth="1" width="9.140625" level="0" outlineLevel="0"/>
    <col min="77" max="77" customWidth="1" width="9.140625" level="0" outlineLevel="0"/>
    <col min="78" max="78" customWidth="1" width="9.140625" level="0" outlineLevel="0"/>
    <col min="79" max="79" customWidth="1" width="9.140625" level="0" outlineLevel="0"/>
    <col min="80" max="80" customWidth="1" width="9.140625" level="0" outlineLevel="0"/>
    <col min="81" max="81" customWidth="1" width="9.140625" level="0" outlineLevel="0"/>
    <col min="82" max="82" customWidth="1" width="9.140625" level="0" outlineLevel="0"/>
    <col min="83" max="83" customWidth="1" width="9.140625" level="0" outlineLevel="0"/>
    <col min="84" max="84" customWidth="1" width="9.140625" level="0" outlineLevel="0"/>
    <col min="85" max="85" customWidth="1" width="9.140625" level="0" outlineLevel="0"/>
    <col min="86" max="86" customWidth="1" width="9.140625" level="0" outlineLevel="0"/>
    <col min="87" max="87" customWidth="1" width="9.140625" level="0" outlineLevel="0"/>
    <col min="88" max="88" customWidth="1" width="9.140625" level="0" outlineLevel="0"/>
    <col min="89" max="89" customWidth="1" width="9.140625" level="0" outlineLevel="0"/>
    <col min="90" max="90" customWidth="1" width="9.140625" level="0" outlineLevel="0"/>
    <col min="91" max="91" customWidth="1" width="9.140625" level="0" outlineLevel="0"/>
    <col min="92" max="92" customWidth="1" width="9.140625" level="0" outlineLevel="0"/>
    <col min="93" max="93" customWidth="1" width="9.140625" level="0" outlineLevel="0"/>
    <col min="94" max="94" customWidth="1" width="9.140625" level="0" outlineLevel="0"/>
    <col min="95" max="95" customWidth="1" width="9.140625" level="0" outlineLevel="0"/>
    <col min="96" max="96" customWidth="1" width="9.140625" level="0" outlineLevel="0"/>
    <col min="97" max="97" customWidth="1" width="9.140625" level="0" outlineLevel="0"/>
    <col min="98" max="98" customWidth="1" width="9.140625" level="0" outlineLevel="0"/>
    <col min="99" max="99" customWidth="1" width="9.140625" level="0" outlineLevel="0"/>
    <col min="100" max="100" customWidth="1" width="9.140625" level="0" outlineLevel="0"/>
    <col min="101" max="101" customWidth="1" width="9.140625" level="0" outlineLevel="0"/>
    <col min="102" max="102" customWidth="1" width="9.140625" level="0" outlineLevel="0"/>
    <col min="103" max="103" customWidth="1" width="9.140625" level="0" outlineLevel="0"/>
    <col min="104" max="104" customWidth="1" width="9.140625" level="0" outlineLevel="0"/>
    <col min="105" max="105" customWidth="1" width="9.140625" level="0" outlineLevel="0"/>
    <col min="106" max="106" customWidth="1" width="9.140625" level="0" outlineLevel="0"/>
    <col min="107" max="107" customWidth="1" width="9.140625" level="0" outlineLevel="0"/>
    <col min="108" max="108" customWidth="1" width="9.140625" level="0" outlineLevel="0"/>
    <col min="109" max="109" customWidth="1" width="9.140625" level="0" outlineLevel="0"/>
    <col min="110" max="110" customWidth="1" width="9.140625" level="0" outlineLevel="0"/>
    <col min="111" max="111" customWidth="1" width="9.140625" level="0" outlineLevel="0"/>
    <col min="112" max="112" customWidth="1" width="9.140625" level="0" outlineLevel="0"/>
    <col min="113" max="113" customWidth="1" width="9.140625" level="0" outlineLevel="0"/>
    <col min="114" max="114" customWidth="1" width="9.140625" level="0" outlineLevel="0"/>
    <col min="115" max="115" customWidth="1" width="9.140625" level="0" outlineLevel="0"/>
    <col min="116" max="116" customWidth="1" width="9.140625" level="0" outlineLevel="0"/>
    <col min="117" max="117" customWidth="1" width="9.140625" level="0" outlineLevel="0"/>
    <col min="118" max="118" customWidth="1" width="9.140625" level="0" outlineLevel="0"/>
    <col min="119" max="119" customWidth="1" width="9.140625" level="0" outlineLevel="0"/>
    <col min="120" max="120" customWidth="1" width="9.140625" level="0" outlineLevel="0"/>
    <col min="121" max="121" customWidth="1" width="9.140625" level="0" outlineLevel="0"/>
    <col min="122" max="122" customWidth="1" width="9.140625" level="0" outlineLevel="0"/>
    <col min="123" max="123" customWidth="1" width="9.140625" level="0" outlineLevel="0"/>
    <col min="124" max="124" customWidth="1" width="9.140625" level="0" outlineLevel="0"/>
    <col min="125" max="125" customWidth="1" width="9.140625" level="0" outlineLevel="0"/>
    <col min="126" max="126" customWidth="1" width="9.140625" level="0" outlineLevel="0"/>
    <col min="127" max="127" customWidth="1" width="9.140625" level="0" outlineLevel="0"/>
    <col min="128" max="128" customWidth="1" width="9.140625" level="0" outlineLevel="0"/>
    <col min="129" max="129" customWidth="1" width="9.140625" level="0" outlineLevel="0"/>
    <col min="130" max="130" customWidth="1" width="9.140625" level="0" outlineLevel="0"/>
    <col min="131" max="131" customWidth="1" width="9.140625" level="0" outlineLevel="0"/>
    <col min="132" max="132" customWidth="1" width="9.140625" level="0" outlineLevel="0"/>
    <col min="133" max="133" customWidth="1" width="9.140625" level="0" outlineLevel="0"/>
    <col min="134" max="134" customWidth="1" width="9.140625" level="0" outlineLevel="0"/>
    <col min="135" max="135" customWidth="1" width="9.140625" level="0" outlineLevel="0"/>
    <col min="136" max="136" customWidth="1" width="9.140625" level="0" outlineLevel="0"/>
    <col min="137" max="137" customWidth="1" width="9.140625" level="0" outlineLevel="0"/>
    <col min="138" max="138" customWidth="1" width="9.140625" level="0" outlineLevel="0"/>
    <col min="139" max="139" customWidth="1" width="9.140625" level="0" outlineLevel="0"/>
    <col min="140" max="140" customWidth="1" width="9.140625" level="0" outlineLevel="0"/>
    <col min="141" max="141" customWidth="1" width="9.140625" level="0" outlineLevel="0"/>
    <col min="142" max="142" customWidth="1" width="9.140625" level="0" outlineLevel="0"/>
    <col min="143" max="143" customWidth="1" width="9.140625" level="0" outlineLevel="0"/>
    <col min="144" max="144" customWidth="1" width="9.140625" level="0" outlineLevel="0"/>
    <col min="145" max="145" customWidth="1" width="9.140625" level="0" outlineLevel="0"/>
    <col min="146" max="146" customWidth="1" width="9.140625" level="0" outlineLevel="0"/>
    <col min="147" max="147" customWidth="1" width="9.140625" level="0" outlineLevel="0"/>
    <col min="148" max="148" customWidth="1" width="9.140625" level="0" outlineLevel="0"/>
    <col min="149" max="149" customWidth="1" width="9.140625" level="0" outlineLevel="0"/>
    <col min="150" max="150" customWidth="1" width="9.140625" level="0" outlineLevel="0"/>
    <col min="151" max="151" customWidth="1" width="9.140625" level="0" outlineLevel="0"/>
    <col min="152" max="152" customWidth="1" width="9.140625" level="0" outlineLevel="0"/>
    <col min="153" max="153" customWidth="1" width="9.140625" level="0" outlineLevel="0"/>
    <col min="154" max="154" customWidth="1" width="9.140625" level="0" outlineLevel="0"/>
    <col min="155" max="155" customWidth="1" width="9.140625" level="0" outlineLevel="0"/>
    <col min="156" max="156" customWidth="1" width="9.140625" level="0" outlineLevel="0"/>
    <col min="157" max="157" customWidth="1" width="9.140625" level="0" outlineLevel="0"/>
    <col min="158" max="158" customWidth="1" width="9.140625" level="0" outlineLevel="0"/>
    <col min="159" max="159" customWidth="1" width="9.140625" level="0" outlineLevel="0"/>
    <col min="160" max="160" customWidth="1" width="9.140625" level="0" outlineLevel="0"/>
    <col min="161" max="161" customWidth="1" width="9.140625" level="0" outlineLevel="0"/>
    <col min="162" max="162" customWidth="1" width="9.140625" level="0" outlineLevel="0"/>
    <col min="163" max="163" customWidth="1" width="9.140625" level="0" outlineLevel="0"/>
    <col min="164" max="164" customWidth="1" width="9.140625" level="0" outlineLevel="0"/>
    <col min="165" max="165" customWidth="1" width="9.140625" level="0" outlineLevel="0"/>
    <col min="166" max="166" customWidth="1" width="9.140625" level="0" outlineLevel="0"/>
    <col min="167" max="167" customWidth="1" width="9.140625" level="0" outlineLevel="0"/>
    <col min="168" max="168" customWidth="1" width="9.140625" level="0" outlineLevel="0"/>
    <col min="169" max="169" customWidth="1" width="9.140625" level="0" outlineLevel="0"/>
    <col min="170" max="170" customWidth="1" width="9.140625" level="0" outlineLevel="0"/>
    <col min="171" max="171" customWidth="1" width="9.140625" level="0" outlineLevel="0"/>
    <col min="172" max="172" customWidth="1" width="9.140625" level="0" outlineLevel="0"/>
    <col min="173" max="173" customWidth="1" width="9.140625" level="0" outlineLevel="0"/>
    <col min="174" max="174" customWidth="1" width="9.140625" level="0" outlineLevel="0"/>
    <col min="175" max="175" customWidth="1" width="9.140625" level="0" outlineLevel="0"/>
    <col min="176" max="176" customWidth="1" width="9.140625" level="0" outlineLevel="0"/>
    <col min="177" max="177" customWidth="1" width="9.140625" level="0" outlineLevel="0"/>
    <col min="178" max="178" customWidth="1" width="9.140625" level="0" outlineLevel="0"/>
    <col min="179" max="179" customWidth="1" width="9.140625" level="0" outlineLevel="0"/>
    <col min="180" max="180" customWidth="1" width="9.140625" level="0" outlineLevel="0"/>
    <col min="181" max="181" customWidth="1" width="9.140625" level="0" outlineLevel="0"/>
    <col min="182" max="182" customWidth="1" width="9.140625" level="0" outlineLevel="0"/>
    <col min="183" max="183" customWidth="1" width="9.140625" level="0" outlineLevel="0"/>
    <col min="184" max="184" customWidth="1" width="9.140625" level="0" outlineLevel="0"/>
    <col min="185" max="185" customWidth="1" width="9.140625" level="0" outlineLevel="0"/>
    <col min="186" max="186" customWidth="1" width="9.140625" level="0" outlineLevel="0"/>
    <col min="187" max="187" customWidth="1" width="9.140625" level="0" outlineLevel="0"/>
    <col min="188" max="188" customWidth="1" width="9.140625" level="0" outlineLevel="0"/>
    <col min="189" max="189" customWidth="1" width="9.140625" level="0" outlineLevel="0"/>
    <col min="190" max="190" customWidth="1" width="9.140625" level="0" outlineLevel="0"/>
    <col min="191" max="191" customWidth="1" width="9.140625" level="0" outlineLevel="0"/>
    <col min="192" max="192" customWidth="1" width="9.140625" level="0" outlineLevel="0"/>
    <col min="193" max="193" customWidth="1" width="9.140625" level="0" outlineLevel="0"/>
    <col min="194" max="194" customWidth="1" width="9.140625" level="0" outlineLevel="0"/>
    <col min="195" max="195" customWidth="1" width="9.140625" level="0" outlineLevel="0"/>
    <col min="196" max="196" customWidth="1" width="9.140625" level="0" outlineLevel="0"/>
    <col min="197" max="197" customWidth="1" width="9.140625" level="0" outlineLevel="0"/>
    <col min="198" max="198" customWidth="1" width="9.140625" level="0" outlineLevel="0"/>
    <col min="199" max="199" customWidth="1" width="9.140625" level="0" outlineLevel="0"/>
    <col min="200" max="200" customWidth="1" width="9.140625" level="0" outlineLevel="0"/>
    <col min="201" max="201" customWidth="1" width="9.140625" level="0" outlineLevel="0"/>
    <col min="202" max="202" customWidth="1" width="9.140625" level="0" outlineLevel="0"/>
    <col min="203" max="203" customWidth="1" width="9.140625" level="0" outlineLevel="0"/>
    <col min="204" max="204" customWidth="1" width="9.140625" level="0" outlineLevel="0"/>
    <col min="205" max="205" customWidth="1" width="9.140625" level="0" outlineLevel="0"/>
    <col min="206" max="206" customWidth="1" width="9.140625" level="0" outlineLevel="0"/>
    <col min="207" max="207" customWidth="1" width="9.140625" level="0" outlineLevel="0"/>
    <col min="208" max="208" customWidth="1" width="9.140625" level="0" outlineLevel="0"/>
    <col min="209" max="209" customWidth="1" width="9.140625" level="0" outlineLevel="0"/>
    <col min="210" max="210" customWidth="1" width="9.140625" level="0" outlineLevel="0"/>
    <col min="211" max="211" customWidth="1" width="9.140625" level="0" outlineLevel="0"/>
    <col min="212" max="212" customWidth="1" width="9.140625" level="0" outlineLevel="0"/>
    <col min="213" max="213" customWidth="1" width="9.140625" level="0" outlineLevel="0"/>
    <col min="214" max="214" customWidth="1" width="9.140625" level="0" outlineLevel="0"/>
    <col min="215" max="215" customWidth="1" width="9.140625" level="0" outlineLevel="0"/>
    <col min="216" max="216" customWidth="1" width="9.140625" level="0" outlineLevel="0"/>
    <col min="217" max="217" customWidth="1" width="9.140625" level="0" outlineLevel="0"/>
    <col min="218" max="218" customWidth="1" width="9.140625" level="0" outlineLevel="0"/>
    <col min="219" max="219" customWidth="1" width="9.140625" level="0" outlineLevel="0"/>
    <col min="220" max="220" customWidth="1" width="9.140625" level="0" outlineLevel="0"/>
    <col min="221" max="221" customWidth="1" width="9.140625" level="0" outlineLevel="0"/>
    <col min="222" max="222" customWidth="1" width="9.140625" level="0" outlineLevel="0"/>
    <col min="223" max="223" customWidth="1" width="9.140625" level="0" outlineLevel="0"/>
    <col min="224" max="224" customWidth="1" width="9.140625" level="0" outlineLevel="0"/>
    <col min="225" max="225" customWidth="1" width="9.140625" level="0" outlineLevel="0"/>
    <col min="226" max="226" customWidth="1" width="9.140625" level="0" outlineLevel="0"/>
    <col min="227" max="227" customWidth="1" width="9.140625" level="0" outlineLevel="0"/>
    <col min="228" max="228" customWidth="1" width="9.140625" level="0" outlineLevel="0"/>
    <col min="229" max="229" customWidth="1" width="9.140625" level="0" outlineLevel="0"/>
    <col min="230" max="230" customWidth="1" width="9.140625" level="0" outlineLevel="0"/>
    <col min="231" max="231" customWidth="1" width="9.140625" level="0" outlineLevel="0"/>
    <col min="232" max="232" customWidth="1" width="9.140625" level="0" outlineLevel="0"/>
    <col min="233" max="233" customWidth="1" width="9.140625" level="0" outlineLevel="0"/>
    <col min="234" max="234" customWidth="1" width="9.140625" level="0" outlineLevel="0"/>
    <col min="235" max="235" customWidth="1" width="9.140625" level="0" outlineLevel="0"/>
    <col min="236" max="236" customWidth="1" width="9.140625" level="0" outlineLevel="0"/>
    <col min="237" max="237" customWidth="1" width="9.140625" level="0" outlineLevel="0"/>
    <col min="238" max="238" customWidth="1" width="9.140625" level="0" outlineLevel="0"/>
    <col min="239" max="239" customWidth="1" width="9.140625" level="0" outlineLevel="0"/>
    <col min="240" max="240" customWidth="1" width="9.140625" level="0" outlineLevel="0"/>
    <col min="241" max="241" customWidth="1" width="9.140625" level="0" outlineLevel="0"/>
    <col min="242" max="242" customWidth="1" width="9.140625" level="0" outlineLevel="0"/>
    <col min="243" max="243" customWidth="1" width="9.140625" level="0" outlineLevel="0"/>
    <col min="244" max="244" customWidth="1" width="9.140625" level="0" outlineLevel="0"/>
    <col min="245" max="245" customWidth="1" width="9.140625" level="0" outlineLevel="0"/>
    <col min="246" max="246" customWidth="1" width="9.140625" level="0" outlineLevel="0"/>
    <col min="247" max="247" customWidth="1" width="9.140625" level="0" outlineLevel="0"/>
    <col min="248" max="248" customWidth="1" width="9.140625" level="0" outlineLevel="0"/>
    <col min="249" max="249" customWidth="1" width="9.140625" level="0" outlineLevel="0"/>
    <col min="250" max="250" customWidth="1" width="9.140625" level="0" outlineLevel="0"/>
    <col min="251" max="251" customWidth="1" width="9.140625" level="0" outlineLevel="0"/>
    <col min="252" max="252" customWidth="1" width="9.140625" level="0" outlineLevel="0"/>
    <col min="253" max="253" customWidth="1" width="9.140625" level="0" outlineLevel="0"/>
    <col min="254" max="254" customWidth="1" width="9.140625" level="0" outlineLevel="0"/>
    <col min="255" max="255" customWidth="1" width="9.140625" level="0" outlineLevel="0"/>
    <col min="256" max="256" customWidth="1" width="9.140625" level="0" outlineLevel="0"/>
    <col min="257" max="257" customWidth="1" width="9.140625" level="0" outlineLevel="0"/>
  </cols>
  <sheetData>
    <row r="1" ht="15" customHeight="1">
      <c r="A1" t="str">
        <v>Объект капитального строительства:</v>
      </c>
    </row>
    <row r="2" ht="60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 ht="12.949999999999998" customHeight="1">
      <c r="A3" t="str">
        <v>Заказчик:</v>
      </c>
    </row>
    <row r="4" ht="15" customHeight="1">
      <c r="A4" t="str">
        <f>'Лист1'!A4</f>
        <v xml:space="preserve">МКС – филиал ПАО «Россети Московский регион» </v>
      </c>
    </row>
    <row r="5" ht="15" customHeight="1">
      <c r="A5" t="str">
        <v>Подрядная организация:</v>
      </c>
    </row>
    <row r="6" ht="15" customHeight="1">
      <c r="A6" t="str">
        <f>'Лист1'!A7</f>
        <v xml:space="preserve">ООО «СМК» </v>
      </c>
    </row>
    <row r="7" ht="8.1" customHeight="1"/>
    <row r="8" ht="15" customHeight="1">
      <c r="A8" t="str">
        <v>АКТ</v>
      </c>
    </row>
    <row r="9" ht="15" customHeight="1">
      <c r="A9" t="str">
        <v>ПРИЕМКИ ТРУБОПРОВОДА ДЛЯ ПРОТЯГИВАНИЯ</v>
      </c>
    </row>
    <row r="10" ht="15" customHeight="1">
      <c r="A10" t="str">
        <f>'Лист1'!B85</f>
        <v>№1/3/РЭР</v>
      </c>
      <c r="L10" s="1">
        <f>'Лист1'!E85</f>
        <v>45960</v>
      </c>
    </row>
    <row r="11" ht="8.1" customHeight="1"/>
    <row r="12" ht="15" customHeight="1">
      <c r="A12" t="str">
        <v>Комиссия в составе представителей:</v>
      </c>
    </row>
    <row r="13" ht="8.1" customHeight="1"/>
    <row r="14" ht="15" customHeight="1">
      <c r="A14" t="str">
        <v xml:space="preserve">Представители заказчика: </v>
      </c>
    </row>
    <row r="15" ht="15" customHeight="1">
      <c r="A15" t="str">
        <f>'Лист1'!A14</f>
        <v>Заместитель начальника УКС ЮВО МКС филиал ПАО «РОССЕТИ МОСКОВСКИЙ РЕГИОН» Гусев П.А.</v>
      </c>
    </row>
    <row r="16" ht="15" customHeight="1">
      <c r="A16" t="str">
        <f>'Лист1'!A31</f>
        <v>Старший мастер 7 РЭР УКС ЮВО МКС филиал ПАО «РОССЕТИ МОСКОВСКИЙ РЕГИОН» Рящиков М.Ю.</v>
      </c>
    </row>
    <row r="17" ht="15" customHeight="1">
      <c r="A17" t="str">
        <v xml:space="preserve">Представители подрядной организации: </v>
      </c>
    </row>
    <row r="18" ht="15" customHeight="1">
      <c r="A18" t="str">
        <f>'Лист1'!A17</f>
        <v xml:space="preserve">Заместитель генерального директора по развитию ООО "СМК" Прошин Н.Н., </v>
      </c>
    </row>
    <row r="19" ht="15" customHeight="1">
      <c r="A19" t="str">
        <f>'Лист1'!A20</f>
        <v>Зам. начальника ПТО ООО "СМК" Тишков В.А., С-77-233823 от 25.05.2021г.</v>
      </c>
    </row>
    <row r="20" ht="15" customHeight="1">
      <c r="A20" t="str">
        <v xml:space="preserve">Представитель монтажной организации: </v>
      </c>
    </row>
    <row r="21" ht="15" customHeight="1">
      <c r="A21" t="str">
        <f>'Лист1'!A26</f>
        <v>Главный инженер ООО «СКМ-ГРУПП» Картавченко А.Л.,</v>
      </c>
    </row>
    <row r="22" ht="8.1" customHeight="1"/>
    <row r="23" ht="15" customHeight="1">
      <c r="A23" t="str">
        <v xml:space="preserve">Подготовленный к протягиванию трубопровод для закрытого перехода:  </v>
      </c>
    </row>
    <row r="24" ht="15" customHeight="1">
      <c r="A24" t="str">
        <v>Номер закрытого перехода:</v>
      </c>
      <c r="E24" t="str">
        <f>'Лист1'!C49</f>
        <v xml:space="preserve">№1 </v>
      </c>
    </row>
    <row r="25" ht="15" customHeight="1">
      <c r="A25" t="str">
        <v>Адрес приемки трубопровода:</v>
      </c>
      <c r="E25" t="str">
        <f>'Лист1'!C48</f>
        <v>г. Москва, Салтыковская ул. д.5А</v>
      </c>
    </row>
    <row r="26" ht="15" customHeight="1">
      <c r="A26" t="str">
        <v>Количество сваренных плетей:</v>
      </c>
      <c r="E26">
        <f>'Лист1'!C54</f>
        <v>3</v>
      </c>
      <c r="G26" t="str">
        <v>Общая длина трубопровода:</v>
      </c>
      <c r="K26">
        <f>'Лист1'!C57</f>
        <v>190.92000000000002</v>
      </c>
    </row>
    <row r="27" ht="15" customHeight="1">
      <c r="A27" t="str">
        <v>Трубопровод собран из труб:</v>
      </c>
      <c r="E27" t="str">
        <f>'Лист1'!C61</f>
        <v>ЭЛЕКТРОПАЙП ОС РС 160х8.9 SN16-N F90 T120</v>
      </c>
    </row>
    <row r="28" ht="15" customHeight="1">
      <c r="A28" t="str">
        <v xml:space="preserve">Соединение труб выполнено </v>
      </c>
      <c r="E28" t="str">
        <v>сваркой по ГОСТ (ТУ) 55276-2012 в соответствии с проектом.</v>
      </c>
    </row>
    <row r="29" ht="15" customHeight="1">
      <c r="A29" t="str">
        <v>Передовое звено соединенино с расширителем:</v>
      </c>
      <c r="G29">
        <f>'Лист1'!C60</f>
        <v>500</v>
      </c>
    </row>
    <row r="30" ht="15" customHeight="1">
      <c r="A30" t="str">
        <v>Маркировка на трубе соответствует предъявляемым документам:</v>
      </c>
    </row>
    <row r="31" ht="30" customHeight="1">
      <c r="A31" t="str">
        <f>'Лист1'!C62</f>
        <v xml:space="preserve">Паспорт качества №12514 от 09.10.2025г; Сертификат соответствия №РОСС RU.HB24.АПТС H00165/24 до 20.02.2029г.  </v>
      </c>
    </row>
    <row r="32" ht="15" customHeight="1">
      <c r="A32" t="str">
        <v xml:space="preserve">Решение комиссии: </v>
      </c>
    </row>
    <row r="33" ht="30" customHeight="1">
      <c r="A33" t="str">
        <f>CONCATENATE("Разрешается протягивание"," ",'Лист1'!C56," в скважину закрытого перехода"," ",'Лист1'!C49," с усилием тяги не более 30т.",)</f>
        <v>Разрешается протягивание 3(трёх) труб (ЭЛЕКТРОПАЙП ОС РС 160х8.9 SN16-N F90 T120) в скважину закрытого перехода №1  с усилием тяги не более 30т.</v>
      </c>
    </row>
    <row r="34" ht="15" customHeight="1"/>
    <row r="35">
      <c r="A35" t="str">
        <v xml:space="preserve">Представители заказчика: </v>
      </c>
    </row>
    <row r="36" ht="20.1" customHeight="1">
      <c r="A36" t="str">
        <f>'Лист1'!B35</f>
        <v>Гусев П.А.</v>
      </c>
    </row>
    <row r="37" ht="20.1" customHeight="1">
      <c r="A37" t="str">
        <f>'Лист1'!B45</f>
        <v>Рящиков М.Ю.</v>
      </c>
    </row>
    <row r="38">
      <c r="A38" t="str">
        <v xml:space="preserve">Представители подрядной организации: </v>
      </c>
    </row>
    <row r="39" ht="20.1" customHeight="1">
      <c r="A39" t="str">
        <f>'Лист1'!B37</f>
        <v>Прошин Н.Н.</v>
      </c>
    </row>
    <row r="40" ht="20.1" customHeight="1">
      <c r="A40" t="str">
        <f>'Лист1'!B39</f>
        <v>Тишков В.А.</v>
      </c>
    </row>
    <row r="41" ht="15" customHeight="1">
      <c r="A41" t="str">
        <v xml:space="preserve">Представитель монтажной организации: </v>
      </c>
    </row>
    <row r="42" ht="20.1" customHeight="1">
      <c r="A42" t="str">
        <f>'Лист1'!B43</f>
        <v>Картавченко А.Л.</v>
      </c>
    </row>
  </sheetData>
  <mergeCells count="16">
    <mergeCell ref="A18:N18"/>
    <mergeCell ref="A19:N19"/>
    <mergeCell ref="G26:J26"/>
    <mergeCell ref="A26:D26"/>
    <mergeCell ref="A33:N33"/>
    <mergeCell ref="A31:N31"/>
    <mergeCell ref="A42:N42"/>
    <mergeCell ref="A21:N21"/>
    <mergeCell ref="A15:N15"/>
    <mergeCell ref="A2:N2"/>
    <mergeCell ref="A4:N4"/>
    <mergeCell ref="A6:N6"/>
    <mergeCell ref="A8:N8"/>
    <mergeCell ref="A9:N9"/>
    <mergeCell ref="L10:N10"/>
    <mergeCell ref="A16:N16"/>
  </mergeCells>
  <pageMargins left="0.25" right="0.25" top="0.75" bottom="0.75" header="0.3" footer="0.3"/>
  <ignoredErrors>
    <ignoredError numberStoredAsText="1" sqref="A1:AA4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N46"/>
  <sheetViews>
    <sheetView workbookViewId="0" rightToLeft="0"/>
  </sheetViews>
  <cols>
    <col min="1" max="1" customWidth="1" width="7.7109375" level="0" outlineLevel="0"/>
    <col min="2" max="2" customWidth="1" width="7.7109375" level="0" outlineLevel="0"/>
    <col min="3" max="3" customWidth="1" width="7.7109375" level="0" outlineLevel="0"/>
    <col min="4" max="4" customWidth="1" width="7.7109375" level="0" outlineLevel="0"/>
    <col min="5" max="5" customWidth="1" width="7.7109375" level="0" outlineLevel="0"/>
    <col min="6" max="6" customWidth="1" width="7.7109375" level="0" outlineLevel="0"/>
    <col min="7" max="7" customWidth="1" width="7.7109375" level="0" outlineLevel="0"/>
    <col min="8" max="8" customWidth="1" width="7.7109375" level="0" outlineLevel="0"/>
    <col min="9" max="9" customWidth="1" width="7.7109375" level="0" outlineLevel="0"/>
    <col min="10" max="10" customWidth="1" width="7.7109375" level="0" outlineLevel="0"/>
    <col min="11" max="11" customWidth="1" width="7.7109375" level="0" outlineLevel="0"/>
    <col min="12" max="12" customWidth="1" width="7.7109375" level="0" outlineLevel="0"/>
    <col min="13" max="13" customWidth="1" width="7.7109375" level="0" outlineLevel="0"/>
    <col min="14" max="14" customWidth="1" width="7.7109375" level="0" outlineLevel="0"/>
    <col min="15" max="15" customWidth="1" width="9.140625" level="0" outlineLevel="0"/>
    <col min="16" max="16" customWidth="1" width="9.140625" level="0" outlineLevel="0"/>
    <col min="17" max="17" customWidth="1" width="9.140625" level="0" outlineLevel="0"/>
    <col min="18" max="18" customWidth="1" width="9.140625" level="0" outlineLevel="0"/>
    <col min="19" max="19" customWidth="1" width="9.140625" level="0" outlineLevel="0"/>
    <col min="20" max="20" customWidth="1" width="9.140625" level="0" outlineLevel="0"/>
    <col min="21" max="21" customWidth="1" width="9.140625" level="0" outlineLevel="0"/>
    <col min="22" max="22" customWidth="1" width="9.140625" level="0" outlineLevel="0"/>
    <col min="23" max="23" customWidth="1" width="9.140625" level="0" outlineLevel="0"/>
    <col min="24" max="24" customWidth="1" width="9.140625" level="0" outlineLevel="0"/>
    <col min="25" max="25" customWidth="1" width="9.140625" level="0" outlineLevel="0"/>
    <col min="26" max="26" customWidth="1" width="9.140625" level="0" outlineLevel="0"/>
    <col min="27" max="27" customWidth="1" width="9.140625" level="0" outlineLevel="0"/>
    <col min="28" max="28" customWidth="1" width="9.140625" level="0" outlineLevel="0"/>
    <col min="29" max="29" customWidth="1" width="9.140625" level="0" outlineLevel="0"/>
    <col min="30" max="30" customWidth="1" width="9.140625" level="0" outlineLevel="0"/>
    <col min="31" max="31" customWidth="1" width="9.140625" level="0" outlineLevel="0"/>
    <col min="32" max="32" customWidth="1" width="9.140625" level="0" outlineLevel="0"/>
    <col min="33" max="33" customWidth="1" width="9.140625" level="0" outlineLevel="0"/>
    <col min="34" max="34" customWidth="1" width="9.140625" level="0" outlineLevel="0"/>
    <col min="35" max="35" customWidth="1" width="9.140625" level="0" outlineLevel="0"/>
    <col min="36" max="36" customWidth="1" width="9.140625" level="0" outlineLevel="0"/>
    <col min="37" max="37" customWidth="1" width="9.140625" level="0" outlineLevel="0"/>
    <col min="38" max="38" customWidth="1" width="9.140625" level="0" outlineLevel="0"/>
    <col min="39" max="39" customWidth="1" width="9.140625" level="0" outlineLevel="0"/>
    <col min="40" max="40" customWidth="1" width="9.140625" level="0" outlineLevel="0"/>
    <col min="41" max="41" customWidth="1" width="9.140625" level="0" outlineLevel="0"/>
    <col min="42" max="42" customWidth="1" width="9.140625" level="0" outlineLevel="0"/>
    <col min="43" max="43" customWidth="1" width="9.140625" level="0" outlineLevel="0"/>
    <col min="44" max="44" customWidth="1" width="9.140625" level="0" outlineLevel="0"/>
    <col min="45" max="45" customWidth="1" width="9.140625" level="0" outlineLevel="0"/>
    <col min="46" max="46" customWidth="1" width="9.140625" level="0" outlineLevel="0"/>
    <col min="47" max="47" customWidth="1" width="9.140625" level="0" outlineLevel="0"/>
    <col min="48" max="48" customWidth="1" width="9.140625" level="0" outlineLevel="0"/>
    <col min="49" max="49" customWidth="1" width="9.140625" level="0" outlineLevel="0"/>
    <col min="50" max="50" customWidth="1" width="9.140625" level="0" outlineLevel="0"/>
    <col min="51" max="51" customWidth="1" width="9.140625" level="0" outlineLevel="0"/>
    <col min="52" max="52" customWidth="1" width="9.140625" level="0" outlineLevel="0"/>
    <col min="53" max="53" customWidth="1" width="9.140625" level="0" outlineLevel="0"/>
    <col min="54" max="54" customWidth="1" width="9.140625" level="0" outlineLevel="0"/>
    <col min="55" max="55" customWidth="1" width="9.140625" level="0" outlineLevel="0"/>
    <col min="56" max="56" customWidth="1" width="9.140625" level="0" outlineLevel="0"/>
    <col min="57" max="57" customWidth="1" width="9.140625" level="0" outlineLevel="0"/>
    <col min="58" max="58" customWidth="1" width="9.140625" level="0" outlineLevel="0"/>
    <col min="59" max="59" customWidth="1" width="9.140625" level="0" outlineLevel="0"/>
    <col min="60" max="60" customWidth="1" width="9.140625" level="0" outlineLevel="0"/>
    <col min="61" max="61" customWidth="1" width="9.140625" level="0" outlineLevel="0"/>
    <col min="62" max="62" customWidth="1" width="9.140625" level="0" outlineLevel="0"/>
    <col min="63" max="63" customWidth="1" width="9.140625" level="0" outlineLevel="0"/>
    <col min="64" max="64" customWidth="1" width="9.140625" level="0" outlineLevel="0"/>
    <col min="65" max="65" customWidth="1" width="9.140625" level="0" outlineLevel="0"/>
    <col min="66" max="66" customWidth="1" width="9.140625" level="0" outlineLevel="0"/>
    <col min="67" max="67" customWidth="1" width="9.140625" level="0" outlineLevel="0"/>
    <col min="68" max="68" customWidth="1" width="9.140625" level="0" outlineLevel="0"/>
    <col min="69" max="69" customWidth="1" width="9.140625" level="0" outlineLevel="0"/>
    <col min="70" max="70" customWidth="1" width="9.140625" level="0" outlineLevel="0"/>
    <col min="71" max="71" customWidth="1" width="9.140625" level="0" outlineLevel="0"/>
    <col min="72" max="72" customWidth="1" width="9.140625" level="0" outlineLevel="0"/>
    <col min="73" max="73" customWidth="1" width="9.140625" level="0" outlineLevel="0"/>
    <col min="74" max="74" customWidth="1" width="9.140625" level="0" outlineLevel="0"/>
    <col min="75" max="75" customWidth="1" width="9.140625" level="0" outlineLevel="0"/>
    <col min="76" max="76" customWidth="1" width="9.140625" level="0" outlineLevel="0"/>
    <col min="77" max="77" customWidth="1" width="9.140625" level="0" outlineLevel="0"/>
    <col min="78" max="78" customWidth="1" width="9.140625" level="0" outlineLevel="0"/>
    <col min="79" max="79" customWidth="1" width="9.140625" level="0" outlineLevel="0"/>
    <col min="80" max="80" customWidth="1" width="9.140625" level="0" outlineLevel="0"/>
    <col min="81" max="81" customWidth="1" width="9.140625" level="0" outlineLevel="0"/>
    <col min="82" max="82" customWidth="1" width="9.140625" level="0" outlineLevel="0"/>
    <col min="83" max="83" customWidth="1" width="9.140625" level="0" outlineLevel="0"/>
    <col min="84" max="84" customWidth="1" width="9.140625" level="0" outlineLevel="0"/>
    <col min="85" max="85" customWidth="1" width="9.140625" level="0" outlineLevel="0"/>
    <col min="86" max="86" customWidth="1" width="9.140625" level="0" outlineLevel="0"/>
    <col min="87" max="87" customWidth="1" width="9.140625" level="0" outlineLevel="0"/>
    <col min="88" max="88" customWidth="1" width="9.140625" level="0" outlineLevel="0"/>
    <col min="89" max="89" customWidth="1" width="9.140625" level="0" outlineLevel="0"/>
    <col min="90" max="90" customWidth="1" width="9.140625" level="0" outlineLevel="0"/>
    <col min="91" max="91" customWidth="1" width="9.140625" level="0" outlineLevel="0"/>
    <col min="92" max="92" customWidth="1" width="9.140625" level="0" outlineLevel="0"/>
    <col min="93" max="93" customWidth="1" width="9.140625" level="0" outlineLevel="0"/>
    <col min="94" max="94" customWidth="1" width="9.140625" level="0" outlineLevel="0"/>
    <col min="95" max="95" customWidth="1" width="9.140625" level="0" outlineLevel="0"/>
    <col min="96" max="96" customWidth="1" width="9.140625" level="0" outlineLevel="0"/>
    <col min="97" max="97" customWidth="1" width="9.140625" level="0" outlineLevel="0"/>
    <col min="98" max="98" customWidth="1" width="9.140625" level="0" outlineLevel="0"/>
    <col min="99" max="99" customWidth="1" width="9.140625" level="0" outlineLevel="0"/>
    <col min="100" max="100" customWidth="1" width="9.140625" level="0" outlineLevel="0"/>
    <col min="101" max="101" customWidth="1" width="9.140625" level="0" outlineLevel="0"/>
    <col min="102" max="102" customWidth="1" width="9.140625" level="0" outlineLevel="0"/>
    <col min="103" max="103" customWidth="1" width="9.140625" level="0" outlineLevel="0"/>
    <col min="104" max="104" customWidth="1" width="9.140625" level="0" outlineLevel="0"/>
    <col min="105" max="105" customWidth="1" width="9.140625" level="0" outlineLevel="0"/>
    <col min="106" max="106" customWidth="1" width="9.140625" level="0" outlineLevel="0"/>
    <col min="107" max="107" customWidth="1" width="9.140625" level="0" outlineLevel="0"/>
    <col min="108" max="108" customWidth="1" width="9.140625" level="0" outlineLevel="0"/>
    <col min="109" max="109" customWidth="1" width="9.140625" level="0" outlineLevel="0"/>
    <col min="110" max="110" customWidth="1" width="9.140625" level="0" outlineLevel="0"/>
    <col min="111" max="111" customWidth="1" width="9.140625" level="0" outlineLevel="0"/>
    <col min="112" max="112" customWidth="1" width="9.140625" level="0" outlineLevel="0"/>
    <col min="113" max="113" customWidth="1" width="9.140625" level="0" outlineLevel="0"/>
    <col min="114" max="114" customWidth="1" width="9.140625" level="0" outlineLevel="0"/>
    <col min="115" max="115" customWidth="1" width="9.140625" level="0" outlineLevel="0"/>
    <col min="116" max="116" customWidth="1" width="9.140625" level="0" outlineLevel="0"/>
    <col min="117" max="117" customWidth="1" width="9.140625" level="0" outlineLevel="0"/>
    <col min="118" max="118" customWidth="1" width="9.140625" level="0" outlineLevel="0"/>
    <col min="119" max="119" customWidth="1" width="9.140625" level="0" outlineLevel="0"/>
    <col min="120" max="120" customWidth="1" width="9.140625" level="0" outlineLevel="0"/>
    <col min="121" max="121" customWidth="1" width="9.140625" level="0" outlineLevel="0"/>
    <col min="122" max="122" customWidth="1" width="9.140625" level="0" outlineLevel="0"/>
    <col min="123" max="123" customWidth="1" width="9.140625" level="0" outlineLevel="0"/>
    <col min="124" max="124" customWidth="1" width="9.140625" level="0" outlineLevel="0"/>
    <col min="125" max="125" customWidth="1" width="9.140625" level="0" outlineLevel="0"/>
    <col min="126" max="126" customWidth="1" width="9.140625" level="0" outlineLevel="0"/>
    <col min="127" max="127" customWidth="1" width="9.140625" level="0" outlineLevel="0"/>
    <col min="128" max="128" customWidth="1" width="9.140625" level="0" outlineLevel="0"/>
    <col min="129" max="129" customWidth="1" width="9.140625" level="0" outlineLevel="0"/>
    <col min="130" max="130" customWidth="1" width="9.140625" level="0" outlineLevel="0"/>
    <col min="131" max="131" customWidth="1" width="9.140625" level="0" outlineLevel="0"/>
    <col min="132" max="132" customWidth="1" width="9.140625" level="0" outlineLevel="0"/>
    <col min="133" max="133" customWidth="1" width="9.140625" level="0" outlineLevel="0"/>
    <col min="134" max="134" customWidth="1" width="9.140625" level="0" outlineLevel="0"/>
    <col min="135" max="135" customWidth="1" width="9.140625" level="0" outlineLevel="0"/>
    <col min="136" max="136" customWidth="1" width="9.140625" level="0" outlineLevel="0"/>
    <col min="137" max="137" customWidth="1" width="9.140625" level="0" outlineLevel="0"/>
    <col min="138" max="138" customWidth="1" width="9.140625" level="0" outlineLevel="0"/>
    <col min="139" max="139" customWidth="1" width="9.140625" level="0" outlineLevel="0"/>
    <col min="140" max="140" customWidth="1" width="9.140625" level="0" outlineLevel="0"/>
    <col min="141" max="141" customWidth="1" width="9.140625" level="0" outlineLevel="0"/>
    <col min="142" max="142" customWidth="1" width="9.140625" level="0" outlineLevel="0"/>
    <col min="143" max="143" customWidth="1" width="9.140625" level="0" outlineLevel="0"/>
    <col min="144" max="144" customWidth="1" width="9.140625" level="0" outlineLevel="0"/>
    <col min="145" max="145" customWidth="1" width="9.140625" level="0" outlineLevel="0"/>
    <col min="146" max="146" customWidth="1" width="9.140625" level="0" outlineLevel="0"/>
    <col min="147" max="147" customWidth="1" width="9.140625" level="0" outlineLevel="0"/>
    <col min="148" max="148" customWidth="1" width="9.140625" level="0" outlineLevel="0"/>
    <col min="149" max="149" customWidth="1" width="9.140625" level="0" outlineLevel="0"/>
    <col min="150" max="150" customWidth="1" width="9.140625" level="0" outlineLevel="0"/>
    <col min="151" max="151" customWidth="1" width="9.140625" level="0" outlineLevel="0"/>
    <col min="152" max="152" customWidth="1" width="9.140625" level="0" outlineLevel="0"/>
    <col min="153" max="153" customWidth="1" width="9.140625" level="0" outlineLevel="0"/>
    <col min="154" max="154" customWidth="1" width="9.140625" level="0" outlineLevel="0"/>
    <col min="155" max="155" customWidth="1" width="9.140625" level="0" outlineLevel="0"/>
    <col min="156" max="156" customWidth="1" width="9.140625" level="0" outlineLevel="0"/>
    <col min="157" max="157" customWidth="1" width="9.140625" level="0" outlineLevel="0"/>
    <col min="158" max="158" customWidth="1" width="9.140625" level="0" outlineLevel="0"/>
    <col min="159" max="159" customWidth="1" width="9.140625" level="0" outlineLevel="0"/>
    <col min="160" max="160" customWidth="1" width="9.140625" level="0" outlineLevel="0"/>
    <col min="161" max="161" customWidth="1" width="9.140625" level="0" outlineLevel="0"/>
    <col min="162" max="162" customWidth="1" width="9.140625" level="0" outlineLevel="0"/>
    <col min="163" max="163" customWidth="1" width="9.140625" level="0" outlineLevel="0"/>
    <col min="164" max="164" customWidth="1" width="9.140625" level="0" outlineLevel="0"/>
    <col min="165" max="165" customWidth="1" width="9.140625" level="0" outlineLevel="0"/>
    <col min="166" max="166" customWidth="1" width="9.140625" level="0" outlineLevel="0"/>
    <col min="167" max="167" customWidth="1" width="9.140625" level="0" outlineLevel="0"/>
    <col min="168" max="168" customWidth="1" width="9.140625" level="0" outlineLevel="0"/>
    <col min="169" max="169" customWidth="1" width="9.140625" level="0" outlineLevel="0"/>
    <col min="170" max="170" customWidth="1" width="9.140625" level="0" outlineLevel="0"/>
    <col min="171" max="171" customWidth="1" width="9.140625" level="0" outlineLevel="0"/>
    <col min="172" max="172" customWidth="1" width="9.140625" level="0" outlineLevel="0"/>
    <col min="173" max="173" customWidth="1" width="9.140625" level="0" outlineLevel="0"/>
    <col min="174" max="174" customWidth="1" width="9.140625" level="0" outlineLevel="0"/>
    <col min="175" max="175" customWidth="1" width="9.140625" level="0" outlineLevel="0"/>
    <col min="176" max="176" customWidth="1" width="9.140625" level="0" outlineLevel="0"/>
    <col min="177" max="177" customWidth="1" width="9.140625" level="0" outlineLevel="0"/>
    <col min="178" max="178" customWidth="1" width="9.140625" level="0" outlineLevel="0"/>
    <col min="179" max="179" customWidth="1" width="9.140625" level="0" outlineLevel="0"/>
    <col min="180" max="180" customWidth="1" width="9.140625" level="0" outlineLevel="0"/>
    <col min="181" max="181" customWidth="1" width="9.140625" level="0" outlineLevel="0"/>
    <col min="182" max="182" customWidth="1" width="9.140625" level="0" outlineLevel="0"/>
    <col min="183" max="183" customWidth="1" width="9.140625" level="0" outlineLevel="0"/>
    <col min="184" max="184" customWidth="1" width="9.140625" level="0" outlineLevel="0"/>
    <col min="185" max="185" customWidth="1" width="9.140625" level="0" outlineLevel="0"/>
    <col min="186" max="186" customWidth="1" width="9.140625" level="0" outlineLevel="0"/>
    <col min="187" max="187" customWidth="1" width="9.140625" level="0" outlineLevel="0"/>
    <col min="188" max="188" customWidth="1" width="9.140625" level="0" outlineLevel="0"/>
    <col min="189" max="189" customWidth="1" width="9.140625" level="0" outlineLevel="0"/>
    <col min="190" max="190" customWidth="1" width="9.140625" level="0" outlineLevel="0"/>
    <col min="191" max="191" customWidth="1" width="9.140625" level="0" outlineLevel="0"/>
    <col min="192" max="192" customWidth="1" width="9.140625" level="0" outlineLevel="0"/>
    <col min="193" max="193" customWidth="1" width="9.140625" level="0" outlineLevel="0"/>
    <col min="194" max="194" customWidth="1" width="9.140625" level="0" outlineLevel="0"/>
    <col min="195" max="195" customWidth="1" width="9.140625" level="0" outlineLevel="0"/>
    <col min="196" max="196" customWidth="1" width="9.140625" level="0" outlineLevel="0"/>
    <col min="197" max="197" customWidth="1" width="9.140625" level="0" outlineLevel="0"/>
    <col min="198" max="198" customWidth="1" width="9.140625" level="0" outlineLevel="0"/>
    <col min="199" max="199" customWidth="1" width="9.140625" level="0" outlineLevel="0"/>
    <col min="200" max="200" customWidth="1" width="9.140625" level="0" outlineLevel="0"/>
    <col min="201" max="201" customWidth="1" width="9.140625" level="0" outlineLevel="0"/>
    <col min="202" max="202" customWidth="1" width="9.140625" level="0" outlineLevel="0"/>
    <col min="203" max="203" customWidth="1" width="9.140625" level="0" outlineLevel="0"/>
    <col min="204" max="204" customWidth="1" width="9.140625" level="0" outlineLevel="0"/>
    <col min="205" max="205" customWidth="1" width="9.140625" level="0" outlineLevel="0"/>
    <col min="206" max="206" customWidth="1" width="9.140625" level="0" outlineLevel="0"/>
    <col min="207" max="207" customWidth="1" width="9.140625" level="0" outlineLevel="0"/>
    <col min="208" max="208" customWidth="1" width="9.140625" level="0" outlineLevel="0"/>
    <col min="209" max="209" customWidth="1" width="9.140625" level="0" outlineLevel="0"/>
    <col min="210" max="210" customWidth="1" width="9.140625" level="0" outlineLevel="0"/>
    <col min="211" max="211" customWidth="1" width="9.140625" level="0" outlineLevel="0"/>
    <col min="212" max="212" customWidth="1" width="9.140625" level="0" outlineLevel="0"/>
    <col min="213" max="213" customWidth="1" width="9.140625" level="0" outlineLevel="0"/>
    <col min="214" max="214" customWidth="1" width="9.140625" level="0" outlineLevel="0"/>
    <col min="215" max="215" customWidth="1" width="9.140625" level="0" outlineLevel="0"/>
    <col min="216" max="216" customWidth="1" width="9.140625" level="0" outlineLevel="0"/>
    <col min="217" max="217" customWidth="1" width="9.140625" level="0" outlineLevel="0"/>
    <col min="218" max="218" customWidth="1" width="9.140625" level="0" outlineLevel="0"/>
    <col min="219" max="219" customWidth="1" width="9.140625" level="0" outlineLevel="0"/>
    <col min="220" max="220" customWidth="1" width="9.140625" level="0" outlineLevel="0"/>
    <col min="221" max="221" customWidth="1" width="9.140625" level="0" outlineLevel="0"/>
    <col min="222" max="222" customWidth="1" width="9.140625" level="0" outlineLevel="0"/>
    <col min="223" max="223" customWidth="1" width="9.140625" level="0" outlineLevel="0"/>
    <col min="224" max="224" customWidth="1" width="9.140625" level="0" outlineLevel="0"/>
    <col min="225" max="225" customWidth="1" width="9.140625" level="0" outlineLevel="0"/>
    <col min="226" max="226" customWidth="1" width="9.140625" level="0" outlineLevel="0"/>
    <col min="227" max="227" customWidth="1" width="9.140625" level="0" outlineLevel="0"/>
    <col min="228" max="228" customWidth="1" width="9.140625" level="0" outlineLevel="0"/>
    <col min="229" max="229" customWidth="1" width="9.140625" level="0" outlineLevel="0"/>
    <col min="230" max="230" customWidth="1" width="9.140625" level="0" outlineLevel="0"/>
    <col min="231" max="231" customWidth="1" width="9.140625" level="0" outlineLevel="0"/>
    <col min="232" max="232" customWidth="1" width="9.140625" level="0" outlineLevel="0"/>
    <col min="233" max="233" customWidth="1" width="9.140625" level="0" outlineLevel="0"/>
    <col min="234" max="234" customWidth="1" width="9.140625" level="0" outlineLevel="0"/>
    <col min="235" max="235" customWidth="1" width="9.140625" level="0" outlineLevel="0"/>
    <col min="236" max="236" customWidth="1" width="9.140625" level="0" outlineLevel="0"/>
    <col min="237" max="237" customWidth="1" width="9.140625" level="0" outlineLevel="0"/>
    <col min="238" max="238" customWidth="1" width="9.140625" level="0" outlineLevel="0"/>
    <col min="239" max="239" customWidth="1" width="9.140625" level="0" outlineLevel="0"/>
    <col min="240" max="240" customWidth="1" width="9.140625" level="0" outlineLevel="0"/>
    <col min="241" max="241" customWidth="1" width="9.140625" level="0" outlineLevel="0"/>
    <col min="242" max="242" customWidth="1" width="9.140625" level="0" outlineLevel="0"/>
    <col min="243" max="243" customWidth="1" width="9.140625" level="0" outlineLevel="0"/>
    <col min="244" max="244" customWidth="1" width="9.140625" level="0" outlineLevel="0"/>
    <col min="245" max="245" customWidth="1" width="9.140625" level="0" outlineLevel="0"/>
    <col min="246" max="246" customWidth="1" width="9.140625" level="0" outlineLevel="0"/>
    <col min="247" max="247" customWidth="1" width="9.140625" level="0" outlineLevel="0"/>
    <col min="248" max="248" customWidth="1" width="9.140625" level="0" outlineLevel="0"/>
    <col min="249" max="249" customWidth="1" width="9.140625" level="0" outlineLevel="0"/>
    <col min="250" max="250" customWidth="1" width="9.140625" level="0" outlineLevel="0"/>
    <col min="251" max="251" customWidth="1" width="9.140625" level="0" outlineLevel="0"/>
    <col min="252" max="252" customWidth="1" width="9.140625" level="0" outlineLevel="0"/>
    <col min="253" max="253" customWidth="1" width="9.140625" level="0" outlineLevel="0"/>
    <col min="254" max="254" customWidth="1" width="9.140625" level="0" outlineLevel="0"/>
    <col min="255" max="255" customWidth="1" width="9.140625" level="0" outlineLevel="0"/>
    <col min="256" max="256" customWidth="1" width="9.140625" level="0" outlineLevel="0"/>
    <col min="257" max="257" customWidth="1" width="9.140625" level="0" outlineLevel="0"/>
  </cols>
  <sheetData>
    <row r="1" ht="15" customHeight="1">
      <c r="A1" t="str">
        <v>Объект капитального строительства:</v>
      </c>
    </row>
    <row r="2" ht="60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 ht="12.949999999999998" customHeight="1">
      <c r="A3" t="str">
        <v>Заказчик:</v>
      </c>
    </row>
    <row r="4" ht="15" customHeight="1">
      <c r="A4" t="str">
        <f>'Лист1'!A4</f>
        <v xml:space="preserve">МКС – филиал ПАО «Россети Московский регион» </v>
      </c>
    </row>
    <row r="5" ht="15" customHeight="1">
      <c r="A5" t="str">
        <v>Подрядная организация:</v>
      </c>
    </row>
    <row r="6" ht="15" customHeight="1">
      <c r="A6" t="str">
        <f>'Лист1'!A7</f>
        <v xml:space="preserve">ООО «СМК» </v>
      </c>
    </row>
    <row r="7" ht="15" customHeight="1"/>
    <row r="8" ht="15" customHeight="1">
      <c r="A8" t="str">
        <v>АКТ</v>
      </c>
    </row>
    <row r="9" ht="15" customHeight="1">
      <c r="A9" t="str">
        <v>ТЕХНИЧЕСКОГО НАДЗОРА ПО УСТРОЙСТВУ ЗАКРЫТОГО ПЕРЕХОДА</v>
      </c>
    </row>
    <row r="10" ht="15" customHeight="1">
      <c r="A10" t="str">
        <f>'Лист1'!B86</f>
        <v>№1/4/РЭР</v>
      </c>
      <c r="L10" s="1">
        <f>'Лист1'!E86</f>
        <v>45961</v>
      </c>
    </row>
    <row r="11" ht="15" customHeight="1"/>
    <row r="12" ht="15" customHeight="1">
      <c r="A12" t="str">
        <v>Комиссия в составе представителей:</v>
      </c>
    </row>
    <row r="13" ht="8.1" customHeight="1"/>
    <row r="14" ht="15" customHeight="1">
      <c r="A14" t="str">
        <v xml:space="preserve">Представители заказчика: </v>
      </c>
    </row>
    <row r="15" ht="15" customHeight="1">
      <c r="A15" t="str">
        <f>'Лист1'!A14</f>
        <v>Заместитель начальника УКС ЮВО МКС филиал ПАО «РОССЕТИ МОСКОВСКИЙ РЕГИОН» Гусев П.А.</v>
      </c>
    </row>
    <row r="16" ht="15" customHeight="1">
      <c r="A16" t="str">
        <f>'Лист1'!A31</f>
        <v>Старший мастер 7 РЭР УКС ЮВО МКС филиал ПАО «РОССЕТИ МОСКОВСКИЙ РЕГИОН» Рящиков М.Ю.</v>
      </c>
    </row>
    <row r="17" ht="15" customHeight="1">
      <c r="A17" t="str">
        <v xml:space="preserve">Представители подрядной организации: </v>
      </c>
    </row>
    <row r="18" ht="15" customHeight="1">
      <c r="A18" t="str">
        <f>'Лист1'!A17</f>
        <v xml:space="preserve">Заместитель генерального директора по развитию ООО "СМК" Прошин Н.Н., </v>
      </c>
    </row>
    <row r="19" ht="15" customHeight="1">
      <c r="A19" t="str">
        <f>'Лист1'!A20</f>
        <v>Зам. начальника ПТО ООО "СМК" Тишков В.А., С-77-233823 от 25.05.2021г.</v>
      </c>
    </row>
    <row r="20" ht="15" customHeight="1">
      <c r="A20" t="str">
        <v xml:space="preserve">Представитель монтажной организации: </v>
      </c>
    </row>
    <row r="21" ht="15" customHeight="1">
      <c r="A21" t="str">
        <f>'Лист1'!A26</f>
        <v>Главный инженер ООО «СКМ-ГРУПП» Картавченко А.Л.,</v>
      </c>
    </row>
    <row r="22" ht="8.1" customHeight="1"/>
    <row r="23" ht="15" customHeight="1">
      <c r="A23" t="str">
        <v>Работы по строительству закрытого перехода:</v>
      </c>
    </row>
    <row r="24" ht="15" customHeight="1">
      <c r="A24" t="str">
        <v>Номер закрытого перехода:</v>
      </c>
      <c r="E24" t="str">
        <f>'Лист1'!C49</f>
        <v xml:space="preserve">№1 </v>
      </c>
    </row>
    <row r="25" ht="15" customHeight="1">
      <c r="A25" t="str">
        <v>Адрес закрытого перехода:</v>
      </c>
      <c r="E25" t="str">
        <f>'Лист1'!C48</f>
        <v>г. Москва, Салтыковская ул. д.5А</v>
      </c>
    </row>
    <row r="26" ht="15" customHeight="1">
      <c r="A26" t="str">
        <v>Длина закрытого перехода:</v>
      </c>
      <c r="E26">
        <f>'Лист1'!C53</f>
        <v>63.64</v>
      </c>
    </row>
    <row r="27" ht="15" customHeight="1">
      <c r="A27" t="str">
        <v>Количество трубоканалов:</v>
      </c>
      <c r="E27">
        <f>'Лист1'!C54</f>
        <v>3</v>
      </c>
    </row>
    <row r="28" ht="15" customHeight="1">
      <c r="A28" t="str">
        <v>Диаметр трубоканалов:</v>
      </c>
      <c r="E28">
        <f>'Лист1'!C55</f>
        <v>160</v>
      </c>
    </row>
    <row r="29" ht="15" customHeight="1">
      <c r="A29" t="str">
        <v>Общая длина трубоканалов:</v>
      </c>
      <c r="E29">
        <f>'Лист1'!C57</f>
        <v>190.92000000000002</v>
      </c>
    </row>
    <row r="30" ht="15" customHeight="1">
      <c r="A30" t="str">
        <v>Трубоканал выполненен трубами:</v>
      </c>
      <c r="E30" t="str">
        <f>'Лист1'!C61</f>
        <v>ЭЛЕКТРОПАЙП ОС РС 160х8.9 SN16-N F90 T120</v>
      </c>
    </row>
    <row r="31" ht="15" customHeight="1">
      <c r="A31" t="str">
        <v>Качество работ:</v>
      </c>
      <c r="E31" t="str">
        <v>Удовлетворительное</v>
      </c>
    </row>
    <row r="32" ht="15" customHeight="1">
      <c r="A32" t="str">
        <v xml:space="preserve">Дата начала работ: </v>
      </c>
      <c r="E32" s="1">
        <f>'Лист1'!C86</f>
        <v>45957</v>
      </c>
    </row>
    <row r="33" ht="15" customHeight="1">
      <c r="A33" t="str">
        <v xml:space="preserve">Дата окончания работ: </v>
      </c>
      <c r="E33" s="1">
        <f>'Лист1'!E86</f>
        <v>45961</v>
      </c>
    </row>
    <row r="34" ht="45" customHeight="1">
      <c r="A34" t="str">
        <f>CONCATENATE("Работы поизводились под непрерывным техническим надзором персонала:"," ",'Лист1'!C47," Все технические указания уполномоченных лиц выполнены в полном объеме в соответствии с правилми устройства закрытых переходов и производственных конструкций",)</f>
        <v>Работы поизводились под непрерывным техническим надзором персонала: 7 РЭР УКС ЮВО МКС филиал ПАО «РОССЕТИ МОСКОВСКИЙ РЕГИОН» Все технические указания уполномоченных лиц выполнены в полном объеме в соответствии с правилми устройства закрытых переходов и производственных конструкций</v>
      </c>
    </row>
    <row r="35" ht="15" customHeight="1"/>
    <row r="36" ht="15" customHeight="1">
      <c r="A36" t="str">
        <v xml:space="preserve">Решение комиссии: </v>
      </c>
    </row>
    <row r="37" ht="30" customHeight="1">
      <c r="A37" t="str">
        <v xml:space="preserve">На основании вышеизложенного разрешается производство работ по устройству (монтажу) кабельных линий. </v>
      </c>
    </row>
    <row r="38" ht="15" customHeight="1"/>
    <row r="39" ht="15" customHeight="1">
      <c r="A39" t="str">
        <v xml:space="preserve">Представители заказчика: </v>
      </c>
    </row>
    <row r="40" ht="20.1" customHeight="1">
      <c r="A40" t="str">
        <f>'Лист1'!B35</f>
        <v>Гусев П.А.</v>
      </c>
    </row>
    <row r="41" ht="20.1" customHeight="1">
      <c r="A41" t="str">
        <f>'Лист1'!B45</f>
        <v>Рящиков М.Ю.</v>
      </c>
    </row>
    <row r="42" ht="15" customHeight="1">
      <c r="A42" t="str">
        <v xml:space="preserve">Представители подрядной организации: </v>
      </c>
    </row>
    <row r="43" ht="20.1" customHeight="1">
      <c r="A43" t="str">
        <f>'Лист1'!B37</f>
        <v>Прошин Н.Н.</v>
      </c>
    </row>
    <row r="44" ht="20.1" customHeight="1">
      <c r="A44" t="str">
        <f>'Лист1'!B39</f>
        <v>Тишков В.А.</v>
      </c>
    </row>
    <row r="45" ht="15" customHeight="1">
      <c r="A45" t="str">
        <v xml:space="preserve">Представитель монтажной организации: </v>
      </c>
    </row>
    <row r="46" ht="20.1" customHeight="1">
      <c r="A46" t="str">
        <f>'Лист1'!B43</f>
        <v>Картавченко А.Л.</v>
      </c>
    </row>
  </sheetData>
  <mergeCells count="17">
    <mergeCell ref="L10:N10"/>
    <mergeCell ref="A37:N37"/>
    <mergeCell ref="A34:N34"/>
    <mergeCell ref="A15:N15"/>
    <mergeCell ref="A16:N16"/>
    <mergeCell ref="E32:G32"/>
    <mergeCell ref="E33:G33"/>
    <mergeCell ref="A46:N46"/>
    <mergeCell ref="A21:N21"/>
    <mergeCell ref="AA18:AN18"/>
    <mergeCell ref="A2:N2"/>
    <mergeCell ref="A4:N4"/>
    <mergeCell ref="A8:N8"/>
    <mergeCell ref="A9:N9"/>
    <mergeCell ref="A6:N6"/>
    <mergeCell ref="A18:N18"/>
    <mergeCell ref="A19:N19"/>
  </mergeCells>
  <pageMargins left="0.25" right="0.25" top="0.75" bottom="0.75" header="0.3" footer="0.3"/>
  <ignoredErrors>
    <ignoredError numberStoredAsText="1" sqref="A1:AN4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A49"/>
  <sheetViews>
    <sheetView workbookViewId="0" rightToLeft="0"/>
  </sheetViews>
  <cols>
    <col min="1" max="1" customWidth="1" width="7.7109375" level="0" outlineLevel="0"/>
    <col min="2" max="2" customWidth="1" width="7.7109375" level="0" outlineLevel="0"/>
    <col min="3" max="3" customWidth="1" width="7.7109375" level="0" outlineLevel="0"/>
    <col min="4" max="4" customWidth="1" width="7.7109375" level="0" outlineLevel="0"/>
    <col min="5" max="5" customWidth="1" width="7.7109375" level="0" outlineLevel="0"/>
    <col min="6" max="6" customWidth="1" width="7.7109375" level="0" outlineLevel="0"/>
    <col min="7" max="7" customWidth="1" width="7.7109375" level="0" outlineLevel="0"/>
    <col min="8" max="8" customWidth="1" width="7.7109375" level="0" outlineLevel="0"/>
    <col min="9" max="9" customWidth="1" width="7.7109375" level="0" outlineLevel="0"/>
    <col min="10" max="10" customWidth="1" width="7.7109375" level="0" outlineLevel="0"/>
    <col min="11" max="11" customWidth="1" width="7.7109375" level="0" outlineLevel="0"/>
    <col min="12" max="12" customWidth="1" width="7.7109375" level="0" outlineLevel="0"/>
    <col min="13" max="13" customWidth="1" width="7.7109375" level="0" outlineLevel="0"/>
    <col min="14" max="14" customWidth="1" width="7.7109375" level="0" outlineLevel="0"/>
    <col min="15" max="15" customWidth="1" width="9.140625" level="0" outlineLevel="0"/>
    <col min="16" max="16" customWidth="1" width="9.140625" level="0" outlineLevel="0"/>
    <col min="17" max="17" customWidth="1" width="9.140625" level="0" outlineLevel="0"/>
    <col min="18" max="18" customWidth="1" width="9.140625" level="0" outlineLevel="0"/>
    <col min="19" max="19" customWidth="1" width="9.140625" level="0" outlineLevel="0"/>
    <col min="20" max="20" customWidth="1" width="9.140625" level="0" outlineLevel="0"/>
    <col min="21" max="21" customWidth="1" width="9.140625" level="0" outlineLevel="0"/>
    <col min="22" max="22" customWidth="1" width="9.140625" level="0" outlineLevel="0"/>
    <col min="23" max="23" customWidth="1" width="9.140625" level="0" outlineLevel="0"/>
    <col min="24" max="24" customWidth="1" width="9.140625" level="0" outlineLevel="0"/>
    <col min="25" max="25" customWidth="1" width="9.140625" level="0" outlineLevel="0"/>
    <col min="26" max="26" customWidth="1" width="9.140625" level="0" outlineLevel="0"/>
    <col min="27" max="27" customWidth="1" width="9.140625" level="0" outlineLevel="0"/>
    <col min="28" max="28" customWidth="1" width="9.140625" level="0" outlineLevel="0"/>
    <col min="29" max="29" customWidth="1" width="9.140625" level="0" outlineLevel="0"/>
    <col min="30" max="30" customWidth="1" width="9.140625" level="0" outlineLevel="0"/>
    <col min="31" max="31" customWidth="1" width="9.140625" level="0" outlineLevel="0"/>
    <col min="32" max="32" customWidth="1" width="9.140625" level="0" outlineLevel="0"/>
    <col min="33" max="33" customWidth="1" width="9.140625" level="0" outlineLevel="0"/>
    <col min="34" max="34" customWidth="1" width="9.140625" level="0" outlineLevel="0"/>
    <col min="35" max="35" customWidth="1" width="9.140625" level="0" outlineLevel="0"/>
    <col min="36" max="36" customWidth="1" width="9.140625" level="0" outlineLevel="0"/>
    <col min="37" max="37" customWidth="1" width="9.140625" level="0" outlineLevel="0"/>
    <col min="38" max="38" customWidth="1" width="9.140625" level="0" outlineLevel="0"/>
    <col min="39" max="39" customWidth="1" width="9.140625" level="0" outlineLevel="0"/>
    <col min="40" max="40" customWidth="1" width="9.140625" level="0" outlineLevel="0"/>
    <col min="41" max="41" customWidth="1" width="9.140625" level="0" outlineLevel="0"/>
    <col min="42" max="42" customWidth="1" width="9.140625" level="0" outlineLevel="0"/>
    <col min="43" max="43" customWidth="1" width="9.140625" level="0" outlineLevel="0"/>
    <col min="44" max="44" customWidth="1" width="9.140625" level="0" outlineLevel="0"/>
    <col min="45" max="45" customWidth="1" width="9.140625" level="0" outlineLevel="0"/>
    <col min="46" max="46" customWidth="1" width="9.140625" level="0" outlineLevel="0"/>
    <col min="47" max="47" customWidth="1" width="9.140625" level="0" outlineLevel="0"/>
    <col min="48" max="48" customWidth="1" width="9.140625" level="0" outlineLevel="0"/>
    <col min="49" max="49" customWidth="1" width="9.140625" level="0" outlineLevel="0"/>
    <col min="50" max="50" customWidth="1" width="9.140625" level="0" outlineLevel="0"/>
    <col min="51" max="51" customWidth="1" width="9.140625" level="0" outlineLevel="0"/>
    <col min="52" max="52" customWidth="1" width="9.140625" level="0" outlineLevel="0"/>
    <col min="53" max="53" customWidth="1" width="9.140625" level="0" outlineLevel="0"/>
    <col min="54" max="54" customWidth="1" width="9.140625" level="0" outlineLevel="0"/>
    <col min="55" max="55" customWidth="1" width="9.140625" level="0" outlineLevel="0"/>
    <col min="56" max="56" customWidth="1" width="9.140625" level="0" outlineLevel="0"/>
    <col min="57" max="57" customWidth="1" width="9.140625" level="0" outlineLevel="0"/>
    <col min="58" max="58" customWidth="1" width="9.140625" level="0" outlineLevel="0"/>
    <col min="59" max="59" customWidth="1" width="9.140625" level="0" outlineLevel="0"/>
    <col min="60" max="60" customWidth="1" width="9.140625" level="0" outlineLevel="0"/>
    <col min="61" max="61" customWidth="1" width="9.140625" level="0" outlineLevel="0"/>
    <col min="62" max="62" customWidth="1" width="9.140625" level="0" outlineLevel="0"/>
    <col min="63" max="63" customWidth="1" width="9.140625" level="0" outlineLevel="0"/>
    <col min="64" max="64" customWidth="1" width="9.140625" level="0" outlineLevel="0"/>
    <col min="65" max="65" customWidth="1" width="9.140625" level="0" outlineLevel="0"/>
    <col min="66" max="66" customWidth="1" width="9.140625" level="0" outlineLevel="0"/>
    <col min="67" max="67" customWidth="1" width="9.140625" level="0" outlineLevel="0"/>
    <col min="68" max="68" customWidth="1" width="9.140625" level="0" outlineLevel="0"/>
    <col min="69" max="69" customWidth="1" width="9.140625" level="0" outlineLevel="0"/>
    <col min="70" max="70" customWidth="1" width="9.140625" level="0" outlineLevel="0"/>
    <col min="71" max="71" customWidth="1" width="9.140625" level="0" outlineLevel="0"/>
    <col min="72" max="72" customWidth="1" width="9.140625" level="0" outlineLevel="0"/>
    <col min="73" max="73" customWidth="1" width="9.140625" level="0" outlineLevel="0"/>
    <col min="74" max="74" customWidth="1" width="9.140625" level="0" outlineLevel="0"/>
    <col min="75" max="75" customWidth="1" width="9.140625" level="0" outlineLevel="0"/>
    <col min="76" max="76" customWidth="1" width="9.140625" level="0" outlineLevel="0"/>
    <col min="77" max="77" customWidth="1" width="9.140625" level="0" outlineLevel="0"/>
    <col min="78" max="78" customWidth="1" width="9.140625" level="0" outlineLevel="0"/>
    <col min="79" max="79" customWidth="1" width="9.140625" level="0" outlineLevel="0"/>
    <col min="80" max="80" customWidth="1" width="9.140625" level="0" outlineLevel="0"/>
    <col min="81" max="81" customWidth="1" width="9.140625" level="0" outlineLevel="0"/>
    <col min="82" max="82" customWidth="1" width="9.140625" level="0" outlineLevel="0"/>
    <col min="83" max="83" customWidth="1" width="9.140625" level="0" outlineLevel="0"/>
    <col min="84" max="84" customWidth="1" width="9.140625" level="0" outlineLevel="0"/>
    <col min="85" max="85" customWidth="1" width="9.140625" level="0" outlineLevel="0"/>
    <col min="86" max="86" customWidth="1" width="9.140625" level="0" outlineLevel="0"/>
    <col min="87" max="87" customWidth="1" width="9.140625" level="0" outlineLevel="0"/>
    <col min="88" max="88" customWidth="1" width="9.140625" level="0" outlineLevel="0"/>
    <col min="89" max="89" customWidth="1" width="9.140625" level="0" outlineLevel="0"/>
    <col min="90" max="90" customWidth="1" width="9.140625" level="0" outlineLevel="0"/>
    <col min="91" max="91" customWidth="1" width="9.140625" level="0" outlineLevel="0"/>
    <col min="92" max="92" customWidth="1" width="9.140625" level="0" outlineLevel="0"/>
    <col min="93" max="93" customWidth="1" width="9.140625" level="0" outlineLevel="0"/>
    <col min="94" max="94" customWidth="1" width="9.140625" level="0" outlineLevel="0"/>
    <col min="95" max="95" customWidth="1" width="9.140625" level="0" outlineLevel="0"/>
    <col min="96" max="96" customWidth="1" width="9.140625" level="0" outlineLevel="0"/>
    <col min="97" max="97" customWidth="1" width="9.140625" level="0" outlineLevel="0"/>
    <col min="98" max="98" customWidth="1" width="9.140625" level="0" outlineLevel="0"/>
    <col min="99" max="99" customWidth="1" width="9.140625" level="0" outlineLevel="0"/>
    <col min="100" max="100" customWidth="1" width="9.140625" level="0" outlineLevel="0"/>
    <col min="101" max="101" customWidth="1" width="9.140625" level="0" outlineLevel="0"/>
    <col min="102" max="102" customWidth="1" width="9.140625" level="0" outlineLevel="0"/>
    <col min="103" max="103" customWidth="1" width="9.140625" level="0" outlineLevel="0"/>
    <col min="104" max="104" customWidth="1" width="9.140625" level="0" outlineLevel="0"/>
    <col min="105" max="105" customWidth="1" width="9.140625" level="0" outlineLevel="0"/>
    <col min="106" max="106" customWidth="1" width="9.140625" level="0" outlineLevel="0"/>
    <col min="107" max="107" customWidth="1" width="9.140625" level="0" outlineLevel="0"/>
    <col min="108" max="108" customWidth="1" width="9.140625" level="0" outlineLevel="0"/>
    <col min="109" max="109" customWidth="1" width="9.140625" level="0" outlineLevel="0"/>
    <col min="110" max="110" customWidth="1" width="9.140625" level="0" outlineLevel="0"/>
    <col min="111" max="111" customWidth="1" width="9.140625" level="0" outlineLevel="0"/>
    <col min="112" max="112" customWidth="1" width="9.140625" level="0" outlineLevel="0"/>
    <col min="113" max="113" customWidth="1" width="9.140625" level="0" outlineLevel="0"/>
    <col min="114" max="114" customWidth="1" width="9.140625" level="0" outlineLevel="0"/>
    <col min="115" max="115" customWidth="1" width="9.140625" level="0" outlineLevel="0"/>
    <col min="116" max="116" customWidth="1" width="9.140625" level="0" outlineLevel="0"/>
    <col min="117" max="117" customWidth="1" width="9.140625" level="0" outlineLevel="0"/>
    <col min="118" max="118" customWidth="1" width="9.140625" level="0" outlineLevel="0"/>
    <col min="119" max="119" customWidth="1" width="9.140625" level="0" outlineLevel="0"/>
    <col min="120" max="120" customWidth="1" width="9.140625" level="0" outlineLevel="0"/>
    <col min="121" max="121" customWidth="1" width="9.140625" level="0" outlineLevel="0"/>
    <col min="122" max="122" customWidth="1" width="9.140625" level="0" outlineLevel="0"/>
    <col min="123" max="123" customWidth="1" width="9.140625" level="0" outlineLevel="0"/>
    <col min="124" max="124" customWidth="1" width="9.140625" level="0" outlineLevel="0"/>
    <col min="125" max="125" customWidth="1" width="9.140625" level="0" outlineLevel="0"/>
    <col min="126" max="126" customWidth="1" width="9.140625" level="0" outlineLevel="0"/>
    <col min="127" max="127" customWidth="1" width="9.140625" level="0" outlineLevel="0"/>
    <col min="128" max="128" customWidth="1" width="9.140625" level="0" outlineLevel="0"/>
    <col min="129" max="129" customWidth="1" width="9.140625" level="0" outlineLevel="0"/>
    <col min="130" max="130" customWidth="1" width="9.140625" level="0" outlineLevel="0"/>
    <col min="131" max="131" customWidth="1" width="9.140625" level="0" outlineLevel="0"/>
    <col min="132" max="132" customWidth="1" width="9.140625" level="0" outlineLevel="0"/>
    <col min="133" max="133" customWidth="1" width="9.140625" level="0" outlineLevel="0"/>
    <col min="134" max="134" customWidth="1" width="9.140625" level="0" outlineLevel="0"/>
    <col min="135" max="135" customWidth="1" width="9.140625" level="0" outlineLevel="0"/>
    <col min="136" max="136" customWidth="1" width="9.140625" level="0" outlineLevel="0"/>
    <col min="137" max="137" customWidth="1" width="9.140625" level="0" outlineLevel="0"/>
    <col min="138" max="138" customWidth="1" width="9.140625" level="0" outlineLevel="0"/>
    <col min="139" max="139" customWidth="1" width="9.140625" level="0" outlineLevel="0"/>
    <col min="140" max="140" customWidth="1" width="9.140625" level="0" outlineLevel="0"/>
    <col min="141" max="141" customWidth="1" width="9.140625" level="0" outlineLevel="0"/>
    <col min="142" max="142" customWidth="1" width="9.140625" level="0" outlineLevel="0"/>
    <col min="143" max="143" customWidth="1" width="9.140625" level="0" outlineLevel="0"/>
    <col min="144" max="144" customWidth="1" width="9.140625" level="0" outlineLevel="0"/>
    <col min="145" max="145" customWidth="1" width="9.140625" level="0" outlineLevel="0"/>
    <col min="146" max="146" customWidth="1" width="9.140625" level="0" outlineLevel="0"/>
    <col min="147" max="147" customWidth="1" width="9.140625" level="0" outlineLevel="0"/>
    <col min="148" max="148" customWidth="1" width="9.140625" level="0" outlineLevel="0"/>
    <col min="149" max="149" customWidth="1" width="9.140625" level="0" outlineLevel="0"/>
    <col min="150" max="150" customWidth="1" width="9.140625" level="0" outlineLevel="0"/>
    <col min="151" max="151" customWidth="1" width="9.140625" level="0" outlineLevel="0"/>
    <col min="152" max="152" customWidth="1" width="9.140625" level="0" outlineLevel="0"/>
    <col min="153" max="153" customWidth="1" width="9.140625" level="0" outlineLevel="0"/>
    <col min="154" max="154" customWidth="1" width="9.140625" level="0" outlineLevel="0"/>
    <col min="155" max="155" customWidth="1" width="9.140625" level="0" outlineLevel="0"/>
    <col min="156" max="156" customWidth="1" width="9.140625" level="0" outlineLevel="0"/>
    <col min="157" max="157" customWidth="1" width="9.140625" level="0" outlineLevel="0"/>
    <col min="158" max="158" customWidth="1" width="9.140625" level="0" outlineLevel="0"/>
    <col min="159" max="159" customWidth="1" width="9.140625" level="0" outlineLevel="0"/>
    <col min="160" max="160" customWidth="1" width="9.140625" level="0" outlineLevel="0"/>
    <col min="161" max="161" customWidth="1" width="9.140625" level="0" outlineLevel="0"/>
    <col min="162" max="162" customWidth="1" width="9.140625" level="0" outlineLevel="0"/>
    <col min="163" max="163" customWidth="1" width="9.140625" level="0" outlineLevel="0"/>
    <col min="164" max="164" customWidth="1" width="9.140625" level="0" outlineLevel="0"/>
    <col min="165" max="165" customWidth="1" width="9.140625" level="0" outlineLevel="0"/>
    <col min="166" max="166" customWidth="1" width="9.140625" level="0" outlineLevel="0"/>
    <col min="167" max="167" customWidth="1" width="9.140625" level="0" outlineLevel="0"/>
    <col min="168" max="168" customWidth="1" width="9.140625" level="0" outlineLevel="0"/>
    <col min="169" max="169" customWidth="1" width="9.140625" level="0" outlineLevel="0"/>
    <col min="170" max="170" customWidth="1" width="9.140625" level="0" outlineLevel="0"/>
    <col min="171" max="171" customWidth="1" width="9.140625" level="0" outlineLevel="0"/>
    <col min="172" max="172" customWidth="1" width="9.140625" level="0" outlineLevel="0"/>
    <col min="173" max="173" customWidth="1" width="9.140625" level="0" outlineLevel="0"/>
    <col min="174" max="174" customWidth="1" width="9.140625" level="0" outlineLevel="0"/>
    <col min="175" max="175" customWidth="1" width="9.140625" level="0" outlineLevel="0"/>
    <col min="176" max="176" customWidth="1" width="9.140625" level="0" outlineLevel="0"/>
    <col min="177" max="177" customWidth="1" width="9.140625" level="0" outlineLevel="0"/>
    <col min="178" max="178" customWidth="1" width="9.140625" level="0" outlineLevel="0"/>
    <col min="179" max="179" customWidth="1" width="9.140625" level="0" outlineLevel="0"/>
    <col min="180" max="180" customWidth="1" width="9.140625" level="0" outlineLevel="0"/>
    <col min="181" max="181" customWidth="1" width="9.140625" level="0" outlineLevel="0"/>
    <col min="182" max="182" customWidth="1" width="9.140625" level="0" outlineLevel="0"/>
    <col min="183" max="183" customWidth="1" width="9.140625" level="0" outlineLevel="0"/>
    <col min="184" max="184" customWidth="1" width="9.140625" level="0" outlineLevel="0"/>
    <col min="185" max="185" customWidth="1" width="9.140625" level="0" outlineLevel="0"/>
    <col min="186" max="186" customWidth="1" width="9.140625" level="0" outlineLevel="0"/>
    <col min="187" max="187" customWidth="1" width="9.140625" level="0" outlineLevel="0"/>
    <col min="188" max="188" customWidth="1" width="9.140625" level="0" outlineLevel="0"/>
    <col min="189" max="189" customWidth="1" width="9.140625" level="0" outlineLevel="0"/>
    <col min="190" max="190" customWidth="1" width="9.140625" level="0" outlineLevel="0"/>
    <col min="191" max="191" customWidth="1" width="9.140625" level="0" outlineLevel="0"/>
    <col min="192" max="192" customWidth="1" width="9.140625" level="0" outlineLevel="0"/>
    <col min="193" max="193" customWidth="1" width="9.140625" level="0" outlineLevel="0"/>
    <col min="194" max="194" customWidth="1" width="9.140625" level="0" outlineLevel="0"/>
    <col min="195" max="195" customWidth="1" width="9.140625" level="0" outlineLevel="0"/>
    <col min="196" max="196" customWidth="1" width="9.140625" level="0" outlineLevel="0"/>
    <col min="197" max="197" customWidth="1" width="9.140625" level="0" outlineLevel="0"/>
    <col min="198" max="198" customWidth="1" width="9.140625" level="0" outlineLevel="0"/>
    <col min="199" max="199" customWidth="1" width="9.140625" level="0" outlineLevel="0"/>
    <col min="200" max="200" customWidth="1" width="9.140625" level="0" outlineLevel="0"/>
    <col min="201" max="201" customWidth="1" width="9.140625" level="0" outlineLevel="0"/>
    <col min="202" max="202" customWidth="1" width="9.140625" level="0" outlineLevel="0"/>
    <col min="203" max="203" customWidth="1" width="9.140625" level="0" outlineLevel="0"/>
    <col min="204" max="204" customWidth="1" width="9.140625" level="0" outlineLevel="0"/>
    <col min="205" max="205" customWidth="1" width="9.140625" level="0" outlineLevel="0"/>
    <col min="206" max="206" customWidth="1" width="9.140625" level="0" outlineLevel="0"/>
    <col min="207" max="207" customWidth="1" width="9.140625" level="0" outlineLevel="0"/>
    <col min="208" max="208" customWidth="1" width="9.140625" level="0" outlineLevel="0"/>
    <col min="209" max="209" customWidth="1" width="9.140625" level="0" outlineLevel="0"/>
    <col min="210" max="210" customWidth="1" width="9.140625" level="0" outlineLevel="0"/>
    <col min="211" max="211" customWidth="1" width="9.140625" level="0" outlineLevel="0"/>
    <col min="212" max="212" customWidth="1" width="9.140625" level="0" outlineLevel="0"/>
    <col min="213" max="213" customWidth="1" width="9.140625" level="0" outlineLevel="0"/>
    <col min="214" max="214" customWidth="1" width="9.140625" level="0" outlineLevel="0"/>
    <col min="215" max="215" customWidth="1" width="9.140625" level="0" outlineLevel="0"/>
    <col min="216" max="216" customWidth="1" width="9.140625" level="0" outlineLevel="0"/>
    <col min="217" max="217" customWidth="1" width="9.140625" level="0" outlineLevel="0"/>
    <col min="218" max="218" customWidth="1" width="9.140625" level="0" outlineLevel="0"/>
    <col min="219" max="219" customWidth="1" width="9.140625" level="0" outlineLevel="0"/>
    <col min="220" max="220" customWidth="1" width="9.140625" level="0" outlineLevel="0"/>
    <col min="221" max="221" customWidth="1" width="9.140625" level="0" outlineLevel="0"/>
    <col min="222" max="222" customWidth="1" width="9.140625" level="0" outlineLevel="0"/>
    <col min="223" max="223" customWidth="1" width="9.140625" level="0" outlineLevel="0"/>
    <col min="224" max="224" customWidth="1" width="9.140625" level="0" outlineLevel="0"/>
    <col min="225" max="225" customWidth="1" width="9.140625" level="0" outlineLevel="0"/>
    <col min="226" max="226" customWidth="1" width="9.140625" level="0" outlineLevel="0"/>
    <col min="227" max="227" customWidth="1" width="9.140625" level="0" outlineLevel="0"/>
    <col min="228" max="228" customWidth="1" width="9.140625" level="0" outlineLevel="0"/>
    <col min="229" max="229" customWidth="1" width="9.140625" level="0" outlineLevel="0"/>
    <col min="230" max="230" customWidth="1" width="9.140625" level="0" outlineLevel="0"/>
    <col min="231" max="231" customWidth="1" width="9.140625" level="0" outlineLevel="0"/>
    <col min="232" max="232" customWidth="1" width="9.140625" level="0" outlineLevel="0"/>
    <col min="233" max="233" customWidth="1" width="9.140625" level="0" outlineLevel="0"/>
    <col min="234" max="234" customWidth="1" width="9.140625" level="0" outlineLevel="0"/>
    <col min="235" max="235" customWidth="1" width="9.140625" level="0" outlineLevel="0"/>
    <col min="236" max="236" customWidth="1" width="9.140625" level="0" outlineLevel="0"/>
    <col min="237" max="237" customWidth="1" width="9.140625" level="0" outlineLevel="0"/>
    <col min="238" max="238" customWidth="1" width="9.140625" level="0" outlineLevel="0"/>
    <col min="239" max="239" customWidth="1" width="9.140625" level="0" outlineLevel="0"/>
    <col min="240" max="240" customWidth="1" width="9.140625" level="0" outlineLevel="0"/>
    <col min="241" max="241" customWidth="1" width="9.140625" level="0" outlineLevel="0"/>
    <col min="242" max="242" customWidth="1" width="9.140625" level="0" outlineLevel="0"/>
    <col min="243" max="243" customWidth="1" width="9.140625" level="0" outlineLevel="0"/>
    <col min="244" max="244" customWidth="1" width="9.140625" level="0" outlineLevel="0"/>
    <col min="245" max="245" customWidth="1" width="9.140625" level="0" outlineLevel="0"/>
    <col min="246" max="246" customWidth="1" width="9.140625" level="0" outlineLevel="0"/>
    <col min="247" max="247" customWidth="1" width="9.140625" level="0" outlineLevel="0"/>
    <col min="248" max="248" customWidth="1" width="9.140625" level="0" outlineLevel="0"/>
    <col min="249" max="249" customWidth="1" width="9.140625" level="0" outlineLevel="0"/>
    <col min="250" max="250" customWidth="1" width="9.140625" level="0" outlineLevel="0"/>
    <col min="251" max="251" customWidth="1" width="9.140625" level="0" outlineLevel="0"/>
    <col min="252" max="252" customWidth="1" width="9.140625" level="0" outlineLevel="0"/>
    <col min="253" max="253" customWidth="1" width="9.140625" level="0" outlineLevel="0"/>
    <col min="254" max="254" customWidth="1" width="9.140625" level="0" outlineLevel="0"/>
    <col min="255" max="255" customWidth="1" width="9.140625" level="0" outlineLevel="0"/>
    <col min="256" max="256" customWidth="1" width="9.140625" level="0" outlineLevel="0"/>
    <col min="257" max="257" customWidth="1" width="9.140625" level="0" outlineLevel="0"/>
  </cols>
  <sheetData>
    <row r="1" ht="15" customHeight="1">
      <c r="A1" t="str">
        <v>Объект капитального строительства:</v>
      </c>
    </row>
    <row r="2" ht="60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 ht="12.949999999999998" customHeight="1">
      <c r="A3" t="str">
        <v>Заказчик:</v>
      </c>
    </row>
    <row r="4" ht="15" customHeight="1">
      <c r="A4" t="str">
        <f>'Лист1'!A4</f>
        <v xml:space="preserve">МКС – филиал ПАО «Россети Московский регион» </v>
      </c>
    </row>
    <row r="5" ht="15" customHeight="1">
      <c r="A5" t="str">
        <v>Подрядная организация:</v>
      </c>
    </row>
    <row r="6" ht="15" customHeight="1">
      <c r="A6" t="str">
        <f>'Лист1'!A7</f>
        <v xml:space="preserve">ООО «СМК» </v>
      </c>
    </row>
    <row r="7" ht="15" customHeight="1"/>
    <row r="8" ht="15" customHeight="1">
      <c r="A8" t="str">
        <v>АКТ СДАЧИ-ПРИЕМКИ</v>
      </c>
    </row>
    <row r="9" ht="15" customHeight="1">
      <c r="A9" t="str">
        <v>ЗАКРЫТОГО ПЕРЕХОДА МЕТОДОМ ГНБ</v>
      </c>
    </row>
    <row r="10" ht="15" customHeight="1">
      <c r="A10" t="str">
        <v>ПОД ПРОКЛАДКУ КЛ</v>
      </c>
    </row>
    <row r="11" ht="15" customHeight="1">
      <c r="A11" t="str">
        <f>'Лист1'!B87</f>
        <v>№1/5/РЭР</v>
      </c>
      <c r="L11" s="1">
        <f>'Лист1'!E87</f>
        <v>45961</v>
      </c>
    </row>
    <row r="12" ht="8.1" customHeight="1"/>
    <row r="13" ht="15" customHeight="1">
      <c r="A13" t="str">
        <v>Комиссия в составе представителей:</v>
      </c>
    </row>
    <row r="14" ht="8.1" customHeight="1"/>
    <row r="15" ht="15" customHeight="1">
      <c r="A15" t="str">
        <v xml:space="preserve">Представители заказчика: </v>
      </c>
    </row>
    <row r="16" ht="15" customHeight="1">
      <c r="A16" t="str">
        <f>'Лист1'!A14</f>
        <v>Заместитель начальника УКС ЮВО МКС филиал ПАО «РОССЕТИ МОСКОВСКИЙ РЕГИОН» Гусев П.А.</v>
      </c>
    </row>
    <row r="17" ht="15" customHeight="1">
      <c r="A17" t="str">
        <f>'Лист1'!A31</f>
        <v>Старший мастер 7 РЭР УКС ЮВО МКС филиал ПАО «РОССЕТИ МОСКОВСКИЙ РЕГИОН» Рящиков М.Ю.</v>
      </c>
    </row>
    <row r="18" ht="15" customHeight="1">
      <c r="A18" t="str">
        <v xml:space="preserve">Представители подрядной организации: </v>
      </c>
    </row>
    <row r="19" ht="15" customHeight="1">
      <c r="A19" t="str">
        <f>'Лист1'!A17</f>
        <v xml:space="preserve">Заместитель генерального директора по развитию ООО "СМК" Прошин Н.Н., </v>
      </c>
    </row>
    <row r="20" ht="15" customHeight="1">
      <c r="A20" t="str">
        <f>'Лист1'!A20</f>
        <v>Зам. начальника ПТО ООО "СМК" Тишков В.А., С-77-233823 от 25.05.2021г.</v>
      </c>
    </row>
    <row r="21" ht="15" customHeight="1">
      <c r="A21" t="str">
        <v xml:space="preserve">Представитель монтажной организации: </v>
      </c>
    </row>
    <row r="22" ht="15" customHeight="1">
      <c r="A22" t="str">
        <f>'Лист1'!A26</f>
        <v>Главный инженер ООО «СКМ-ГРУПП» Картавченко А.Л.,</v>
      </c>
    </row>
    <row r="23" ht="8.1" customHeight="1"/>
    <row r="24" ht="15" customHeight="1">
      <c r="A24" t="str">
        <v>К освидетельствованию предъявлены следующие работы:</v>
      </c>
    </row>
    <row r="25" ht="15" customHeight="1">
      <c r="A25" t="str">
        <v>Закрытый переход:</v>
      </c>
      <c r="E25" t="str">
        <f>'Лист1'!C49</f>
        <v xml:space="preserve">№1 </v>
      </c>
    </row>
    <row r="26" ht="15" customHeight="1">
      <c r="A26" t="str">
        <v>Адрес закрытого перехода:</v>
      </c>
      <c r="E26" t="str">
        <f>'Лист1'!C48</f>
        <v>г. Москва, Салтыковская ул. д.5А</v>
      </c>
    </row>
    <row r="27" ht="15" customHeight="1">
      <c r="A27" t="str">
        <v>Длина закрытого перехода:</v>
      </c>
      <c r="E27">
        <f>'Лист1'!C53</f>
        <v>63.64</v>
      </c>
      <c r="G27" t="str">
        <v>Количество трубоканалов:</v>
      </c>
      <c r="K27">
        <f>'Лист1'!C54</f>
        <v>3</v>
      </c>
    </row>
    <row r="28" ht="15" customHeight="1">
      <c r="A28" t="str">
        <v>Диаметр трубоканалов:</v>
      </c>
      <c r="E28">
        <f>'Лист1'!C55</f>
        <v>160</v>
      </c>
      <c r="G28" t="str">
        <v>Общая длина трубоканалов:</v>
      </c>
      <c r="K28">
        <f>'Лист1'!C57</f>
        <v>190.92000000000002</v>
      </c>
    </row>
    <row r="29" ht="15" customHeight="1">
      <c r="A29" t="str">
        <v>Трубоканал выполненен трубами:</v>
      </c>
      <c r="E29" t="str">
        <f>'Лист1'!C61</f>
        <v>ЭЛЕКТРОПАЙП ОС РС 160х8.9 SN16-N F90 T120</v>
      </c>
    </row>
    <row r="30" ht="15" customHeight="1">
      <c r="A30" t="str">
        <v>Соосность труб:</v>
      </c>
      <c r="E30" t="str">
        <v>Трубы соосны</v>
      </c>
    </row>
    <row r="31" ht="15" customHeight="1">
      <c r="A31" t="str">
        <v>Проходимость труб:</v>
      </c>
      <c r="E31" t="str">
        <v>Трубы проходимы</v>
      </c>
    </row>
    <row r="32" ht="15" customHeight="1">
      <c r="A32" t="str">
        <v>Маркировка труб:</v>
      </c>
      <c r="E32" t="str">
        <v>Имеется</v>
      </c>
    </row>
    <row r="33" ht="15" customHeight="1">
      <c r="A33" t="str">
        <v>Герметизация труб:</v>
      </c>
      <c r="E33" t="str">
        <v>Заглушкой, УКПТ</v>
      </c>
    </row>
    <row r="34" ht="15" customHeight="1">
      <c r="A34" t="str">
        <v xml:space="preserve">Дата начала работ: </v>
      </c>
      <c r="E34" s="1">
        <f>'Лист1'!C50</f>
        <v>45957</v>
      </c>
    </row>
    <row r="35" ht="15" customHeight="1">
      <c r="A35" t="str">
        <v xml:space="preserve">Дата окончания работ: </v>
      </c>
      <c r="E35" s="1">
        <f>'Лист1'!C51</f>
        <v>45961</v>
      </c>
    </row>
    <row r="36" ht="15" customHeight="1">
      <c r="A36" t="str">
        <v xml:space="preserve">Решение комиссии: </v>
      </c>
    </row>
    <row r="37" ht="45" customHeight="1">
      <c r="A37" t="str">
        <v xml:space="preserve">Осмотренное сооружение выполнено в полном соответствии со СНиП, Правилами устройства электроустановок.  Закрытый переход методом ГНБ выполнен в соответствии с рабочим проектом, трубы промаркированы  и готовы  для прокладки кабеля. </v>
      </c>
    </row>
    <row r="38" ht="15" customHeight="1"/>
    <row r="39" ht="15" customHeight="1">
      <c r="A39" t="str">
        <v xml:space="preserve">Представители заказчика: </v>
      </c>
    </row>
    <row r="40" ht="20.1" customHeight="1">
      <c r="A40" t="str">
        <f>'Лист1'!B35</f>
        <v>Гусев П.А.</v>
      </c>
    </row>
    <row r="41" ht="20.1" customHeight="1">
      <c r="A41" t="str">
        <f>'Лист1'!B45</f>
        <v>Рящиков М.Ю.</v>
      </c>
    </row>
    <row r="42" ht="15" customHeight="1">
      <c r="A42" t="str">
        <v xml:space="preserve">Представители подрядной организации: </v>
      </c>
    </row>
    <row r="43" ht="20.1" customHeight="1">
      <c r="A43" t="str">
        <f>'Лист1'!B37</f>
        <v>Прошин Н.Н.</v>
      </c>
    </row>
    <row r="44" ht="20.1" customHeight="1">
      <c r="A44" t="str">
        <f>'Лист1'!B39</f>
        <v>Тишков В.А.</v>
      </c>
    </row>
    <row r="45" ht="15" customHeight="1">
      <c r="A45" t="str">
        <v xml:space="preserve">Представитель монтажной организации: </v>
      </c>
    </row>
    <row r="46" ht="20.1" customHeight="1">
      <c r="A46" t="str">
        <f>'Лист1'!B43</f>
        <v>Картавченко А.Л.</v>
      </c>
    </row>
    <row r="47" ht="12" customHeight="1"/>
    <row r="48" ht="12" customHeight="1"/>
    <row r="49" ht="12" customHeight="1"/>
  </sheetData>
  <mergeCells count="18">
    <mergeCell ref="A2:N2"/>
    <mergeCell ref="A4:N4"/>
    <mergeCell ref="A8:N8"/>
    <mergeCell ref="A9:N9"/>
    <mergeCell ref="A10:N10"/>
    <mergeCell ref="G28:J28"/>
    <mergeCell ref="A6:N6"/>
    <mergeCell ref="A16:N16"/>
    <mergeCell ref="A17:N17"/>
    <mergeCell ref="A19:N19"/>
    <mergeCell ref="A46:N46"/>
    <mergeCell ref="A22:N22"/>
    <mergeCell ref="A20:N20"/>
    <mergeCell ref="G27:J27"/>
    <mergeCell ref="L11:N11"/>
    <mergeCell ref="A37:N37"/>
    <mergeCell ref="E34:G34"/>
    <mergeCell ref="E35:G35"/>
  </mergeCells>
  <pageMargins left="0.25" right="0.25" top="0.32068965517241377" bottom="0.75" header="0.3" footer="0.3"/>
  <ignoredErrors>
    <ignoredError numberStoredAsText="1" sqref="A1:AA4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A35"/>
  <sheetViews>
    <sheetView workbookViewId="0" rightToLeft="0"/>
  </sheetViews>
  <cols>
    <col min="1" max="1" customWidth="1" width="7.7109375" level="0" outlineLevel="0"/>
    <col min="2" max="2" customWidth="1" width="7.7109375" level="0" outlineLevel="0"/>
    <col min="3" max="3" customWidth="1" width="7.7109375" level="0" outlineLevel="0"/>
    <col min="4" max="4" customWidth="1" width="7.7109375" level="0" outlineLevel="0"/>
    <col min="5" max="5" customWidth="1" width="7.7109375" level="0" outlineLevel="0"/>
    <col min="6" max="6" customWidth="1" width="7.7109375" level="0" outlineLevel="0"/>
    <col min="7" max="7" customWidth="1" width="7.7109375" level="0" outlineLevel="0"/>
    <col min="8" max="8" customWidth="1" width="7.7109375" level="0" outlineLevel="0"/>
    <col min="9" max="9" customWidth="1" width="7.7109375" level="0" outlineLevel="0"/>
    <col min="10" max="10" customWidth="1" width="7.7109375" level="0" outlineLevel="0"/>
    <col min="11" max="11" customWidth="1" width="7.7109375" level="0" outlineLevel="0"/>
    <col min="12" max="12" customWidth="1" width="7.7109375" level="0" outlineLevel="0"/>
    <col min="13" max="13" customWidth="1" width="7.7109375" level="0" outlineLevel="0"/>
    <col min="14" max="14" customWidth="1" width="7.7109375" level="0" outlineLevel="0"/>
    <col min="15" max="15" customWidth="1" width="9.140625" level="0" outlineLevel="0"/>
    <col min="16" max="16" customWidth="1" width="9.140625" level="0" outlineLevel="0"/>
    <col min="17" max="17" customWidth="1" width="9.140625" level="0" outlineLevel="0"/>
    <col min="18" max="18" customWidth="1" width="9.140625" level="0" outlineLevel="0"/>
    <col min="19" max="19" customWidth="1" width="9.140625" level="0" outlineLevel="0"/>
    <col min="20" max="20" customWidth="1" width="9.140625" level="0" outlineLevel="0"/>
    <col min="21" max="21" customWidth="1" width="9.140625" level="0" outlineLevel="0"/>
    <col min="22" max="22" customWidth="1" width="9.140625" level="0" outlineLevel="0"/>
    <col min="23" max="23" customWidth="1" width="9.140625" level="0" outlineLevel="0"/>
    <col min="24" max="24" customWidth="1" width="9.140625" level="0" outlineLevel="0"/>
    <col min="25" max="25" customWidth="1" width="9.140625" level="0" outlineLevel="0"/>
    <col min="26" max="26" customWidth="1" width="9.140625" level="0" outlineLevel="0"/>
    <col min="27" max="27" customWidth="1" width="9.140625" level="0" outlineLevel="0"/>
    <col min="28" max="28" customWidth="1" width="9.140625" level="0" outlineLevel="0"/>
    <col min="29" max="29" customWidth="1" width="9.140625" level="0" outlineLevel="0"/>
    <col min="30" max="30" customWidth="1" width="9.140625" level="0" outlineLevel="0"/>
    <col min="31" max="31" customWidth="1" width="9.140625" level="0" outlineLevel="0"/>
    <col min="32" max="32" customWidth="1" width="9.140625" level="0" outlineLevel="0"/>
    <col min="33" max="33" customWidth="1" width="9.140625" level="0" outlineLevel="0"/>
    <col min="34" max="34" customWidth="1" width="9.140625" level="0" outlineLevel="0"/>
    <col min="35" max="35" customWidth="1" width="9.140625" level="0" outlineLevel="0"/>
    <col min="36" max="36" customWidth="1" width="9.140625" level="0" outlineLevel="0"/>
    <col min="37" max="37" customWidth="1" width="9.140625" level="0" outlineLevel="0"/>
    <col min="38" max="38" customWidth="1" width="9.140625" level="0" outlineLevel="0"/>
    <col min="39" max="39" customWidth="1" width="9.140625" level="0" outlineLevel="0"/>
    <col min="40" max="40" customWidth="1" width="9.140625" level="0" outlineLevel="0"/>
    <col min="41" max="41" customWidth="1" width="9.140625" level="0" outlineLevel="0"/>
    <col min="42" max="42" customWidth="1" width="9.140625" level="0" outlineLevel="0"/>
    <col min="43" max="43" customWidth="1" width="9.140625" level="0" outlineLevel="0"/>
    <col min="44" max="44" customWidth="1" width="9.140625" level="0" outlineLevel="0"/>
    <col min="45" max="45" customWidth="1" width="9.140625" level="0" outlineLevel="0"/>
    <col min="46" max="46" customWidth="1" width="9.140625" level="0" outlineLevel="0"/>
    <col min="47" max="47" customWidth="1" width="9.140625" level="0" outlineLevel="0"/>
    <col min="48" max="48" customWidth="1" width="9.140625" level="0" outlineLevel="0"/>
    <col min="49" max="49" customWidth="1" width="9.140625" level="0" outlineLevel="0"/>
    <col min="50" max="50" customWidth="1" width="9.140625" level="0" outlineLevel="0"/>
    <col min="51" max="51" customWidth="1" width="9.140625" level="0" outlineLevel="0"/>
    <col min="52" max="52" customWidth="1" width="9.140625" level="0" outlineLevel="0"/>
    <col min="53" max="53" customWidth="1" width="9.140625" level="0" outlineLevel="0"/>
    <col min="54" max="54" customWidth="1" width="9.140625" level="0" outlineLevel="0"/>
    <col min="55" max="55" customWidth="1" width="9.140625" level="0" outlineLevel="0"/>
    <col min="56" max="56" customWidth="1" width="9.140625" level="0" outlineLevel="0"/>
    <col min="57" max="57" customWidth="1" width="9.140625" level="0" outlineLevel="0"/>
    <col min="58" max="58" customWidth="1" width="9.140625" level="0" outlineLevel="0"/>
    <col min="59" max="59" customWidth="1" width="9.140625" level="0" outlineLevel="0"/>
    <col min="60" max="60" customWidth="1" width="9.140625" level="0" outlineLevel="0"/>
    <col min="61" max="61" customWidth="1" width="9.140625" level="0" outlineLevel="0"/>
    <col min="62" max="62" customWidth="1" width="9.140625" level="0" outlineLevel="0"/>
    <col min="63" max="63" customWidth="1" width="9.140625" level="0" outlineLevel="0"/>
    <col min="64" max="64" customWidth="1" width="9.140625" level="0" outlineLevel="0"/>
    <col min="65" max="65" customWidth="1" width="9.140625" level="0" outlineLevel="0"/>
    <col min="66" max="66" customWidth="1" width="9.140625" level="0" outlineLevel="0"/>
    <col min="67" max="67" customWidth="1" width="9.140625" level="0" outlineLevel="0"/>
    <col min="68" max="68" customWidth="1" width="9.140625" level="0" outlineLevel="0"/>
    <col min="69" max="69" customWidth="1" width="9.140625" level="0" outlineLevel="0"/>
    <col min="70" max="70" customWidth="1" width="9.140625" level="0" outlineLevel="0"/>
    <col min="71" max="71" customWidth="1" width="9.140625" level="0" outlineLevel="0"/>
    <col min="72" max="72" customWidth="1" width="9.140625" level="0" outlineLevel="0"/>
    <col min="73" max="73" customWidth="1" width="9.140625" level="0" outlineLevel="0"/>
    <col min="74" max="74" customWidth="1" width="9.140625" level="0" outlineLevel="0"/>
    <col min="75" max="75" customWidth="1" width="9.140625" level="0" outlineLevel="0"/>
    <col min="76" max="76" customWidth="1" width="9.140625" level="0" outlineLevel="0"/>
    <col min="77" max="77" customWidth="1" width="9.140625" level="0" outlineLevel="0"/>
    <col min="78" max="78" customWidth="1" width="9.140625" level="0" outlineLevel="0"/>
    <col min="79" max="79" customWidth="1" width="9.140625" level="0" outlineLevel="0"/>
    <col min="80" max="80" customWidth="1" width="9.140625" level="0" outlineLevel="0"/>
    <col min="81" max="81" customWidth="1" width="9.140625" level="0" outlineLevel="0"/>
    <col min="82" max="82" customWidth="1" width="9.140625" level="0" outlineLevel="0"/>
    <col min="83" max="83" customWidth="1" width="9.140625" level="0" outlineLevel="0"/>
    <col min="84" max="84" customWidth="1" width="9.140625" level="0" outlineLevel="0"/>
    <col min="85" max="85" customWidth="1" width="9.140625" level="0" outlineLevel="0"/>
    <col min="86" max="86" customWidth="1" width="9.140625" level="0" outlineLevel="0"/>
    <col min="87" max="87" customWidth="1" width="9.140625" level="0" outlineLevel="0"/>
    <col min="88" max="88" customWidth="1" width="9.140625" level="0" outlineLevel="0"/>
    <col min="89" max="89" customWidth="1" width="9.140625" level="0" outlineLevel="0"/>
    <col min="90" max="90" customWidth="1" width="9.140625" level="0" outlineLevel="0"/>
    <col min="91" max="91" customWidth="1" width="9.140625" level="0" outlineLevel="0"/>
    <col min="92" max="92" customWidth="1" width="9.140625" level="0" outlineLevel="0"/>
    <col min="93" max="93" customWidth="1" width="9.140625" level="0" outlineLevel="0"/>
    <col min="94" max="94" customWidth="1" width="9.140625" level="0" outlineLevel="0"/>
    <col min="95" max="95" customWidth="1" width="9.140625" level="0" outlineLevel="0"/>
    <col min="96" max="96" customWidth="1" width="9.140625" level="0" outlineLevel="0"/>
    <col min="97" max="97" customWidth="1" width="9.140625" level="0" outlineLevel="0"/>
    <col min="98" max="98" customWidth="1" width="9.140625" level="0" outlineLevel="0"/>
    <col min="99" max="99" customWidth="1" width="9.140625" level="0" outlineLevel="0"/>
    <col min="100" max="100" customWidth="1" width="9.140625" level="0" outlineLevel="0"/>
    <col min="101" max="101" customWidth="1" width="9.140625" level="0" outlineLevel="0"/>
    <col min="102" max="102" customWidth="1" width="9.140625" level="0" outlineLevel="0"/>
    <col min="103" max="103" customWidth="1" width="9.140625" level="0" outlineLevel="0"/>
    <col min="104" max="104" customWidth="1" width="9.140625" level="0" outlineLevel="0"/>
    <col min="105" max="105" customWidth="1" width="9.140625" level="0" outlineLevel="0"/>
    <col min="106" max="106" customWidth="1" width="9.140625" level="0" outlineLevel="0"/>
    <col min="107" max="107" customWidth="1" width="9.140625" level="0" outlineLevel="0"/>
    <col min="108" max="108" customWidth="1" width="9.140625" level="0" outlineLevel="0"/>
    <col min="109" max="109" customWidth="1" width="9.140625" level="0" outlineLevel="0"/>
    <col min="110" max="110" customWidth="1" width="9.140625" level="0" outlineLevel="0"/>
    <col min="111" max="111" customWidth="1" width="9.140625" level="0" outlineLevel="0"/>
    <col min="112" max="112" customWidth="1" width="9.140625" level="0" outlineLevel="0"/>
    <col min="113" max="113" customWidth="1" width="9.140625" level="0" outlineLevel="0"/>
    <col min="114" max="114" customWidth="1" width="9.140625" level="0" outlineLevel="0"/>
    <col min="115" max="115" customWidth="1" width="9.140625" level="0" outlineLevel="0"/>
    <col min="116" max="116" customWidth="1" width="9.140625" level="0" outlineLevel="0"/>
    <col min="117" max="117" customWidth="1" width="9.140625" level="0" outlineLevel="0"/>
    <col min="118" max="118" customWidth="1" width="9.140625" level="0" outlineLevel="0"/>
    <col min="119" max="119" customWidth="1" width="9.140625" level="0" outlineLevel="0"/>
    <col min="120" max="120" customWidth="1" width="9.140625" level="0" outlineLevel="0"/>
    <col min="121" max="121" customWidth="1" width="9.140625" level="0" outlineLevel="0"/>
    <col min="122" max="122" customWidth="1" width="9.140625" level="0" outlineLevel="0"/>
    <col min="123" max="123" customWidth="1" width="9.140625" level="0" outlineLevel="0"/>
    <col min="124" max="124" customWidth="1" width="9.140625" level="0" outlineLevel="0"/>
    <col min="125" max="125" customWidth="1" width="9.140625" level="0" outlineLevel="0"/>
    <col min="126" max="126" customWidth="1" width="9.140625" level="0" outlineLevel="0"/>
    <col min="127" max="127" customWidth="1" width="9.140625" level="0" outlineLevel="0"/>
    <col min="128" max="128" customWidth="1" width="9.140625" level="0" outlineLevel="0"/>
    <col min="129" max="129" customWidth="1" width="9.140625" level="0" outlineLevel="0"/>
    <col min="130" max="130" customWidth="1" width="9.140625" level="0" outlineLevel="0"/>
    <col min="131" max="131" customWidth="1" width="9.140625" level="0" outlineLevel="0"/>
    <col min="132" max="132" customWidth="1" width="9.140625" level="0" outlineLevel="0"/>
    <col min="133" max="133" customWidth="1" width="9.140625" level="0" outlineLevel="0"/>
    <col min="134" max="134" customWidth="1" width="9.140625" level="0" outlineLevel="0"/>
    <col min="135" max="135" customWidth="1" width="9.140625" level="0" outlineLevel="0"/>
    <col min="136" max="136" customWidth="1" width="9.140625" level="0" outlineLevel="0"/>
    <col min="137" max="137" customWidth="1" width="9.140625" level="0" outlineLevel="0"/>
    <col min="138" max="138" customWidth="1" width="9.140625" level="0" outlineLevel="0"/>
    <col min="139" max="139" customWidth="1" width="9.140625" level="0" outlineLevel="0"/>
    <col min="140" max="140" customWidth="1" width="9.140625" level="0" outlineLevel="0"/>
    <col min="141" max="141" customWidth="1" width="9.140625" level="0" outlineLevel="0"/>
    <col min="142" max="142" customWidth="1" width="9.140625" level="0" outlineLevel="0"/>
    <col min="143" max="143" customWidth="1" width="9.140625" level="0" outlineLevel="0"/>
    <col min="144" max="144" customWidth="1" width="9.140625" level="0" outlineLevel="0"/>
    <col min="145" max="145" customWidth="1" width="9.140625" level="0" outlineLevel="0"/>
    <col min="146" max="146" customWidth="1" width="9.140625" level="0" outlineLevel="0"/>
    <col min="147" max="147" customWidth="1" width="9.140625" level="0" outlineLevel="0"/>
    <col min="148" max="148" customWidth="1" width="9.140625" level="0" outlineLevel="0"/>
    <col min="149" max="149" customWidth="1" width="9.140625" level="0" outlineLevel="0"/>
    <col min="150" max="150" customWidth="1" width="9.140625" level="0" outlineLevel="0"/>
    <col min="151" max="151" customWidth="1" width="9.140625" level="0" outlineLevel="0"/>
    <col min="152" max="152" customWidth="1" width="9.140625" level="0" outlineLevel="0"/>
    <col min="153" max="153" customWidth="1" width="9.140625" level="0" outlineLevel="0"/>
    <col min="154" max="154" customWidth="1" width="9.140625" level="0" outlineLevel="0"/>
    <col min="155" max="155" customWidth="1" width="9.140625" level="0" outlineLevel="0"/>
    <col min="156" max="156" customWidth="1" width="9.140625" level="0" outlineLevel="0"/>
    <col min="157" max="157" customWidth="1" width="9.140625" level="0" outlineLevel="0"/>
    <col min="158" max="158" customWidth="1" width="9.140625" level="0" outlineLevel="0"/>
    <col min="159" max="159" customWidth="1" width="9.140625" level="0" outlineLevel="0"/>
    <col min="160" max="160" customWidth="1" width="9.140625" level="0" outlineLevel="0"/>
    <col min="161" max="161" customWidth="1" width="9.140625" level="0" outlineLevel="0"/>
    <col min="162" max="162" customWidth="1" width="9.140625" level="0" outlineLevel="0"/>
    <col min="163" max="163" customWidth="1" width="9.140625" level="0" outlineLevel="0"/>
    <col min="164" max="164" customWidth="1" width="9.140625" level="0" outlineLevel="0"/>
    <col min="165" max="165" customWidth="1" width="9.140625" level="0" outlineLevel="0"/>
    <col min="166" max="166" customWidth="1" width="9.140625" level="0" outlineLevel="0"/>
    <col min="167" max="167" customWidth="1" width="9.140625" level="0" outlineLevel="0"/>
    <col min="168" max="168" customWidth="1" width="9.140625" level="0" outlineLevel="0"/>
    <col min="169" max="169" customWidth="1" width="9.140625" level="0" outlineLevel="0"/>
    <col min="170" max="170" customWidth="1" width="9.140625" level="0" outlineLevel="0"/>
    <col min="171" max="171" customWidth="1" width="9.140625" level="0" outlineLevel="0"/>
    <col min="172" max="172" customWidth="1" width="9.140625" level="0" outlineLevel="0"/>
    <col min="173" max="173" customWidth="1" width="9.140625" level="0" outlineLevel="0"/>
    <col min="174" max="174" customWidth="1" width="9.140625" level="0" outlineLevel="0"/>
    <col min="175" max="175" customWidth="1" width="9.140625" level="0" outlineLevel="0"/>
    <col min="176" max="176" customWidth="1" width="9.140625" level="0" outlineLevel="0"/>
    <col min="177" max="177" customWidth="1" width="9.140625" level="0" outlineLevel="0"/>
    <col min="178" max="178" customWidth="1" width="9.140625" level="0" outlineLevel="0"/>
    <col min="179" max="179" customWidth="1" width="9.140625" level="0" outlineLevel="0"/>
    <col min="180" max="180" customWidth="1" width="9.140625" level="0" outlineLevel="0"/>
    <col min="181" max="181" customWidth="1" width="9.140625" level="0" outlineLevel="0"/>
    <col min="182" max="182" customWidth="1" width="9.140625" level="0" outlineLevel="0"/>
    <col min="183" max="183" customWidth="1" width="9.140625" level="0" outlineLevel="0"/>
    <col min="184" max="184" customWidth="1" width="9.140625" level="0" outlineLevel="0"/>
    <col min="185" max="185" customWidth="1" width="9.140625" level="0" outlineLevel="0"/>
    <col min="186" max="186" customWidth="1" width="9.140625" level="0" outlineLevel="0"/>
    <col min="187" max="187" customWidth="1" width="9.140625" level="0" outlineLevel="0"/>
    <col min="188" max="188" customWidth="1" width="9.140625" level="0" outlineLevel="0"/>
    <col min="189" max="189" customWidth="1" width="9.140625" level="0" outlineLevel="0"/>
    <col min="190" max="190" customWidth="1" width="9.140625" level="0" outlineLevel="0"/>
    <col min="191" max="191" customWidth="1" width="9.140625" level="0" outlineLevel="0"/>
    <col min="192" max="192" customWidth="1" width="9.140625" level="0" outlineLevel="0"/>
    <col min="193" max="193" customWidth="1" width="9.140625" level="0" outlineLevel="0"/>
    <col min="194" max="194" customWidth="1" width="9.140625" level="0" outlineLevel="0"/>
    <col min="195" max="195" customWidth="1" width="9.140625" level="0" outlineLevel="0"/>
    <col min="196" max="196" customWidth="1" width="9.140625" level="0" outlineLevel="0"/>
    <col min="197" max="197" customWidth="1" width="9.140625" level="0" outlineLevel="0"/>
    <col min="198" max="198" customWidth="1" width="9.140625" level="0" outlineLevel="0"/>
    <col min="199" max="199" customWidth="1" width="9.140625" level="0" outlineLevel="0"/>
    <col min="200" max="200" customWidth="1" width="9.140625" level="0" outlineLevel="0"/>
    <col min="201" max="201" customWidth="1" width="9.140625" level="0" outlineLevel="0"/>
    <col min="202" max="202" customWidth="1" width="9.140625" level="0" outlineLevel="0"/>
    <col min="203" max="203" customWidth="1" width="9.140625" level="0" outlineLevel="0"/>
    <col min="204" max="204" customWidth="1" width="9.140625" level="0" outlineLevel="0"/>
    <col min="205" max="205" customWidth="1" width="9.140625" level="0" outlineLevel="0"/>
    <col min="206" max="206" customWidth="1" width="9.140625" level="0" outlineLevel="0"/>
    <col min="207" max="207" customWidth="1" width="9.140625" level="0" outlineLevel="0"/>
    <col min="208" max="208" customWidth="1" width="9.140625" level="0" outlineLevel="0"/>
    <col min="209" max="209" customWidth="1" width="9.140625" level="0" outlineLevel="0"/>
    <col min="210" max="210" customWidth="1" width="9.140625" level="0" outlineLevel="0"/>
    <col min="211" max="211" customWidth="1" width="9.140625" level="0" outlineLevel="0"/>
    <col min="212" max="212" customWidth="1" width="9.140625" level="0" outlineLevel="0"/>
    <col min="213" max="213" customWidth="1" width="9.140625" level="0" outlineLevel="0"/>
    <col min="214" max="214" customWidth="1" width="9.140625" level="0" outlineLevel="0"/>
    <col min="215" max="215" customWidth="1" width="9.140625" level="0" outlineLevel="0"/>
    <col min="216" max="216" customWidth="1" width="9.140625" level="0" outlineLevel="0"/>
    <col min="217" max="217" customWidth="1" width="9.140625" level="0" outlineLevel="0"/>
    <col min="218" max="218" customWidth="1" width="9.140625" level="0" outlineLevel="0"/>
    <col min="219" max="219" customWidth="1" width="9.140625" level="0" outlineLevel="0"/>
    <col min="220" max="220" customWidth="1" width="9.140625" level="0" outlineLevel="0"/>
    <col min="221" max="221" customWidth="1" width="9.140625" level="0" outlineLevel="0"/>
    <col min="222" max="222" customWidth="1" width="9.140625" level="0" outlineLevel="0"/>
    <col min="223" max="223" customWidth="1" width="9.140625" level="0" outlineLevel="0"/>
    <col min="224" max="224" customWidth="1" width="9.140625" level="0" outlineLevel="0"/>
    <col min="225" max="225" customWidth="1" width="9.140625" level="0" outlineLevel="0"/>
    <col min="226" max="226" customWidth="1" width="9.140625" level="0" outlineLevel="0"/>
    <col min="227" max="227" customWidth="1" width="9.140625" level="0" outlineLevel="0"/>
    <col min="228" max="228" customWidth="1" width="9.140625" level="0" outlineLevel="0"/>
    <col min="229" max="229" customWidth="1" width="9.140625" level="0" outlineLevel="0"/>
    <col min="230" max="230" customWidth="1" width="9.140625" level="0" outlineLevel="0"/>
    <col min="231" max="231" customWidth="1" width="9.140625" level="0" outlineLevel="0"/>
    <col min="232" max="232" customWidth="1" width="9.140625" level="0" outlineLevel="0"/>
    <col min="233" max="233" customWidth="1" width="9.140625" level="0" outlineLevel="0"/>
    <col min="234" max="234" customWidth="1" width="9.140625" level="0" outlineLevel="0"/>
    <col min="235" max="235" customWidth="1" width="9.140625" level="0" outlineLevel="0"/>
    <col min="236" max="236" customWidth="1" width="9.140625" level="0" outlineLevel="0"/>
    <col min="237" max="237" customWidth="1" width="9.140625" level="0" outlineLevel="0"/>
    <col min="238" max="238" customWidth="1" width="9.140625" level="0" outlineLevel="0"/>
    <col min="239" max="239" customWidth="1" width="9.140625" level="0" outlineLevel="0"/>
    <col min="240" max="240" customWidth="1" width="9.140625" level="0" outlineLevel="0"/>
    <col min="241" max="241" customWidth="1" width="9.140625" level="0" outlineLevel="0"/>
    <col min="242" max="242" customWidth="1" width="9.140625" level="0" outlineLevel="0"/>
    <col min="243" max="243" customWidth="1" width="9.140625" level="0" outlineLevel="0"/>
    <col min="244" max="244" customWidth="1" width="9.140625" level="0" outlineLevel="0"/>
    <col min="245" max="245" customWidth="1" width="9.140625" level="0" outlineLevel="0"/>
    <col min="246" max="246" customWidth="1" width="9.140625" level="0" outlineLevel="0"/>
    <col min="247" max="247" customWidth="1" width="9.140625" level="0" outlineLevel="0"/>
    <col min="248" max="248" customWidth="1" width="9.140625" level="0" outlineLevel="0"/>
    <col min="249" max="249" customWidth="1" width="9.140625" level="0" outlineLevel="0"/>
    <col min="250" max="250" customWidth="1" width="9.140625" level="0" outlineLevel="0"/>
    <col min="251" max="251" customWidth="1" width="9.140625" level="0" outlineLevel="0"/>
    <col min="252" max="252" customWidth="1" width="9.140625" level="0" outlineLevel="0"/>
    <col min="253" max="253" customWidth="1" width="9.140625" level="0" outlineLevel="0"/>
    <col min="254" max="254" customWidth="1" width="9.140625" level="0" outlineLevel="0"/>
    <col min="255" max="255" customWidth="1" width="9.140625" level="0" outlineLevel="0"/>
    <col min="256" max="256" customWidth="1" width="9.140625" level="0" outlineLevel="0"/>
    <col min="257" max="257" customWidth="1" width="9.140625" level="0" outlineLevel="0"/>
  </cols>
  <sheetData>
    <row r="1" ht="15" customHeight="1">
      <c r="A1" t="str">
        <v>Объект капитального строительства:</v>
      </c>
    </row>
    <row r="2" ht="60" customHeight="1">
      <c r="A2" t="str">
        <f>'Лист1'!A2</f>
        <v xml:space="preserve">«Строительство 8КЛ-0,4 кВ от ТП-10/0,4кВ № 22172 до ВРУ-0,4кВ №1 Заявителя, в т.ч. ПИР: г.Москва, ул. Салтыковская, д.5А» </v>
      </c>
    </row>
    <row r="3" ht="12.949999999999998" customHeight="1">
      <c r="A3" t="str">
        <v>Заказчик:</v>
      </c>
    </row>
    <row r="4" ht="15" customHeight="1">
      <c r="A4" t="str">
        <f>'Лист1'!A4</f>
        <v xml:space="preserve">МКС – филиал ПАО «Россети Московский регион» </v>
      </c>
    </row>
    <row r="5" ht="15" customHeight="1">
      <c r="A5" t="str">
        <v>Подрядная организация:</v>
      </c>
    </row>
    <row r="6" ht="15" customHeight="1">
      <c r="A6" t="str">
        <f>'Лист1'!A7</f>
        <v xml:space="preserve">ООО «СМК» </v>
      </c>
    </row>
    <row r="7" ht="15" customHeight="1"/>
    <row r="8" ht="15" customHeight="1">
      <c r="A8" t="str">
        <v>ИНВЕНТАРНАЯ ОПИСЬ</v>
      </c>
    </row>
    <row r="9" ht="15" customHeight="1">
      <c r="A9" t="str">
        <v>ЭЛЕМЕНТОВ ЗАКРЫТОГО ПЕРЕХОДА</v>
      </c>
    </row>
    <row r="10" ht="15" customHeight="1">
      <c r="A10" t="str">
        <f>'Лист1'!B88</f>
        <v>№1/6/РЭР</v>
      </c>
      <c r="L10" s="1">
        <f>'Лист1'!E88</f>
        <v>45961</v>
      </c>
    </row>
    <row r="11" ht="15" customHeight="1"/>
    <row r="12" ht="15" customHeight="1">
      <c r="A12" t="str">
        <v>Номер закрытого перехода:</v>
      </c>
      <c r="E12" t="str">
        <f>'Лист1'!C49</f>
        <v xml:space="preserve">№1 </v>
      </c>
    </row>
    <row r="13" ht="15" customHeight="1">
      <c r="A13" t="str">
        <v>Адрес закрытого перехода:</v>
      </c>
      <c r="E13" t="str">
        <f>'Лист1'!C48</f>
        <v>г. Москва, Салтыковская ул. д.5А</v>
      </c>
    </row>
    <row r="14" ht="15" customHeight="1"/>
    <row r="15" ht="15" customHeight="1">
      <c r="A15" t="str">
        <v>№ п.п.</v>
      </c>
      <c r="B15" t="str">
        <v>Материалы</v>
      </c>
      <c r="J15" t="str">
        <v>Ед. изм.</v>
      </c>
      <c r="L15" t="str">
        <v>Кол-во</v>
      </c>
    </row>
    <row r="16" ht="15" customHeight="1">
      <c r="A16">
        <v>1</v>
      </c>
      <c r="B16" t="str">
        <v>Труба</v>
      </c>
      <c r="C16" t="str">
        <f>'Лист1'!C61</f>
        <v>ЭЛЕКТРОПАЙП ОС РС 160х8.9 SN16-N F90 T120</v>
      </c>
      <c r="J16" t="str">
        <v>м.п.</v>
      </c>
      <c r="L16">
        <f>'Лист1'!C57</f>
        <v>190.92000000000002</v>
      </c>
    </row>
    <row r="17" ht="15" customHeight="1">
      <c r="A17">
        <v>2</v>
      </c>
      <c r="B17" t="str">
        <v>Полиамидный шнур Д = 8мм</v>
      </c>
      <c r="J17" t="str">
        <v>м.п.</v>
      </c>
      <c r="L17">
        <f>'Лист1'!C57+4</f>
        <v>194.92000000000002</v>
      </c>
    </row>
    <row r="18" ht="15" customHeight="1">
      <c r="A18">
        <v>3</v>
      </c>
      <c r="B18" t="str">
        <v>Заглушки</v>
      </c>
      <c r="J18" t="str">
        <v>шт.</v>
      </c>
      <c r="L18">
        <f>'Лист1'!C54*2</f>
        <v>6</v>
      </c>
    </row>
    <row r="19" ht="15" customHeight="1">
      <c r="A19">
        <v>4</v>
      </c>
      <c r="B19" t="str">
        <v>УКПТ</v>
      </c>
      <c r="J19" t="str">
        <v>шт.</v>
      </c>
      <c r="L19">
        <f>L18</f>
        <v>6</v>
      </c>
    </row>
    <row r="20" ht="15" customHeight="1">
      <c r="A20">
        <v>5</v>
      </c>
      <c r="B20" t="str">
        <v>Бентонит</v>
      </c>
      <c r="J20" t="str">
        <v>кг.</v>
      </c>
      <c r="L20">
        <f>'Лист1'!C58</f>
        <v>6715</v>
      </c>
    </row>
    <row r="21" ht="15" customHeight="1">
      <c r="A21">
        <v>6</v>
      </c>
      <c r="B21" t="str">
        <v>Ксантановый биополимер</v>
      </c>
      <c r="J21" t="str">
        <v>кг.</v>
      </c>
      <c r="L21">
        <f>'Лист1'!C59</f>
        <v>345</v>
      </c>
    </row>
    <row r="22"/>
    <row r="23" ht="15" customHeight="1">
      <c r="A23" t="str">
        <v xml:space="preserve">Представители заказчика: </v>
      </c>
    </row>
    <row r="24" ht="20.1" customHeight="1">
      <c r="A24" t="str">
        <f>'Лист1'!B35</f>
        <v>Гусев П.А.</v>
      </c>
    </row>
    <row r="25" ht="20.1" customHeight="1">
      <c r="A25" t="str">
        <f>'Лист1'!B45</f>
        <v>Рящиков М.Ю.</v>
      </c>
    </row>
    <row r="26" ht="15" customHeight="1">
      <c r="A26" t="str">
        <v xml:space="preserve">Представители подрядной организации: </v>
      </c>
    </row>
    <row r="27" ht="20.1" customHeight="1">
      <c r="A27" t="str">
        <f>'Лист1'!B37</f>
        <v>Прошин Н.Н.</v>
      </c>
    </row>
    <row r="28" ht="20.1" customHeight="1">
      <c r="A28" t="str">
        <f>'Лист1'!B39</f>
        <v>Тишков В.А.</v>
      </c>
    </row>
    <row r="29" ht="15" customHeight="1">
      <c r="A29" t="str">
        <v xml:space="preserve">Представители подрядной организации: </v>
      </c>
    </row>
    <row r="30" ht="20.1" customHeight="1">
      <c r="A30" t="str">
        <f>'Лист1'!B43</f>
        <v>Картавченко А.Л.</v>
      </c>
    </row>
    <row r="31" ht="12" customHeight="1"/>
    <row r="32" ht="12" customHeight="1"/>
    <row r="33" ht="12" customHeight="1"/>
    <row r="34" ht="12" customHeight="1"/>
    <row r="35" ht="12" customHeight="1"/>
  </sheetData>
  <mergeCells count="26">
    <mergeCell ref="B17:I17"/>
    <mergeCell ref="B18:I18"/>
    <mergeCell ref="B19:I19"/>
    <mergeCell ref="B20:I20"/>
    <mergeCell ref="B21:I21"/>
    <mergeCell ref="J20:K20"/>
    <mergeCell ref="J21:K21"/>
    <mergeCell ref="L20:N20"/>
    <mergeCell ref="L21:N21"/>
    <mergeCell ref="A2:N2"/>
    <mergeCell ref="A4:N4"/>
    <mergeCell ref="A8:N8"/>
    <mergeCell ref="A9:N9"/>
    <mergeCell ref="L17:N17"/>
    <mergeCell ref="J17:K17"/>
    <mergeCell ref="A6:N6"/>
    <mergeCell ref="B15:I15"/>
    <mergeCell ref="J16:K16"/>
    <mergeCell ref="L10:N10"/>
    <mergeCell ref="L15:N15"/>
    <mergeCell ref="J15:K15"/>
    <mergeCell ref="L18:N18"/>
    <mergeCell ref="L19:N19"/>
    <mergeCell ref="J18:K18"/>
    <mergeCell ref="J19:K19"/>
    <mergeCell ref="L16:N16"/>
  </mergeCells>
  <pageMargins left="0.25" right="0.25" top="0.75" bottom="0.75" header="0.3" footer="0.3"/>
  <ignoredErrors>
    <ignoredError numberStoredAsText="1" sqref="A1:AA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Лист1</vt:lpstr>
      <vt:lpstr>Акт освид</vt:lpstr>
      <vt:lpstr>1.АОСР разбивка</vt:lpstr>
      <vt:lpstr>2.АОСР котлованы</vt:lpstr>
      <vt:lpstr>3.АОСР пилот</vt:lpstr>
      <vt:lpstr>4.АОСР Расширение</vt:lpstr>
      <vt:lpstr>5.АОСР протягивание</vt:lpstr>
      <vt:lpstr>6.АОСР соосность</vt:lpstr>
      <vt:lpstr>7.АОСР проходимость</vt:lpstr>
      <vt:lpstr>8.АОСР герметизация</vt:lpstr>
      <vt:lpstr>9.АОСР котлованы засыпка</vt:lpstr>
      <vt:lpstr>10.АОСР устройство</vt:lpstr>
      <vt:lpstr>1_РЭР_Осмотр труб</vt:lpstr>
      <vt:lpstr>2_РЭР_Сварка</vt:lpstr>
      <vt:lpstr>3_РЭР_Трубопровод</vt:lpstr>
      <vt:lpstr>4_РЭР_Надзор</vt:lpstr>
      <vt:lpstr>5_РЭР_ПКЛ</vt:lpstr>
      <vt:lpstr>6_РЭР_Опись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1996-10-08T23:32:33Z</dcterms:created>
  <dcterms:modified xsi:type="dcterms:W3CDTF">2026-02-04T09:15:44Z</dcterms:modified>
  <cp:lastModifiedBy>Карсакова Марина</cp:lastModifiedBy>
  <cp:lastPrinted>2025-12-04T06:32:54Z</cp:lastPrinted>
  <dc:creator>Microsoft Corporation</dc:creator>
</cp:coreProperties>
</file>