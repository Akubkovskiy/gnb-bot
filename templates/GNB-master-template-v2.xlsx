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bko\projects\gnb-bot\templates\"/>
    </mc:Choice>
  </mc:AlternateContent>
  <xr:revisionPtr revIDLastSave="0" documentId="13_ncr:1_{4EB9A2D2-7CFA-4866-AF86-B04810221CAB}" xr6:coauthVersionLast="47" xr6:coauthVersionMax="47" xr10:uidLastSave="{00000000-0000-0000-0000-000000000000}"/>
  <bookViews>
    <workbookView xWindow="1848" yWindow="1848" windowWidth="23040" windowHeight="12120" tabRatio="500" xr2:uid="{00000000-000D-0000-FFFF-FFFF00000000}"/>
  </bookViews>
  <sheets>
    <sheet name="00 DATA" sheetId="16" r:id="rId1"/>
    <sheet name="01 Overview" sheetId="12" r:id="rId2"/>
    <sheet name="02 Acts - Data" sheetId="1" r:id="rId3"/>
    <sheet name="03 Acts - Breakdown" sheetId="2" r:id="rId4"/>
    <sheet name="04 Acts - Sealing" sheetId="3" r:id="rId5"/>
    <sheet name="05 Acts - AOSR" sheetId="4" r:id="rId6"/>
    <sheet name="06 Acts - Supervision" sheetId="5" r:id="rId7"/>
    <sheet name="07 Acts - Acceptance" sheetId="6" r:id="rId8"/>
    <sheet name="08 Acts - PP" sheetId="7" r:id="rId9"/>
    <sheet name="09 Acts - Inspection" sheetId="8" r:id="rId10"/>
    <sheet name="10 Acts - Alignment" sheetId="9" r:id="rId11"/>
    <sheet name="11 Acts - Pipe Welding" sheetId="10" r:id="rId12"/>
    <sheet name="12 Acts - Inventory" sheetId="11" r:id="rId13"/>
    <sheet name="13 AOSR - Data" sheetId="13" r:id="rId14"/>
    <sheet name="14 AOSR - Page 1" sheetId="14" r:id="rId15"/>
    <sheet name="15 AOSR - Page 2" sheetId="15" r:id="rId16"/>
  </sheets>
  <externalReferences>
    <externalReference r:id="rId17"/>
  </externalReferences>
  <definedNames>
    <definedName name="_xlfn_SINGLE" localSheetId="14">none</definedName>
    <definedName name="_xlfn_SINGLE" localSheetId="15">none</definedName>
    <definedName name="_xlfn_SINGLE">none</definedName>
    <definedName name="_xlnm.Print_Area" localSheetId="14">'14 AOSR - Page 1'!$A$1:$AJ$87</definedName>
    <definedName name="_xlnm.Print_Area" localSheetId="15">'15 AOSR - Page 2'!$A$1:$AJ$86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5" i="15" l="1"/>
  <c r="U55" i="15"/>
  <c r="P55" i="15"/>
  <c r="M55" i="15"/>
  <c r="U54" i="15"/>
  <c r="P54" i="15"/>
  <c r="M54" i="15"/>
  <c r="G52" i="15"/>
  <c r="A64" i="15" s="1"/>
  <c r="A46" i="15"/>
  <c r="O57" i="15" s="1"/>
  <c r="A43" i="15"/>
  <c r="A30" i="15"/>
  <c r="A27" i="15"/>
  <c r="A24" i="15"/>
  <c r="A22" i="15"/>
  <c r="AG18" i="15"/>
  <c r="AB18" i="15"/>
  <c r="Y18" i="15"/>
  <c r="C18" i="15"/>
  <c r="A13" i="15"/>
  <c r="A10" i="15"/>
  <c r="A7" i="15"/>
  <c r="A4" i="15"/>
  <c r="A63" i="14"/>
  <c r="A41" i="14"/>
  <c r="A52" i="14" s="1"/>
  <c r="A39" i="14"/>
  <c r="AG18" i="14"/>
  <c r="AB18" i="14"/>
  <c r="Y18" i="14"/>
  <c r="C18" i="14"/>
  <c r="B8" i="13"/>
  <c r="B7" i="13"/>
  <c r="B6" i="13"/>
  <c r="B4" i="13"/>
  <c r="A24" i="11"/>
  <c r="B22" i="11"/>
  <c r="A22" i="11"/>
  <c r="A20" i="11"/>
  <c r="K15" i="11"/>
  <c r="C15" i="11"/>
  <c r="C13" i="11"/>
  <c r="A11" i="11"/>
  <c r="C9" i="11"/>
  <c r="C8" i="11"/>
  <c r="C4" i="11"/>
  <c r="C3" i="11"/>
  <c r="C2" i="11"/>
  <c r="C1" i="11"/>
  <c r="A39" i="10"/>
  <c r="A37" i="10"/>
  <c r="D28" i="10"/>
  <c r="D26" i="10"/>
  <c r="E24" i="10"/>
  <c r="H22" i="10"/>
  <c r="D22" i="10"/>
  <c r="C18" i="10"/>
  <c r="E17" i="10"/>
  <c r="E14" i="10"/>
  <c r="A13" i="10"/>
  <c r="A12" i="10"/>
  <c r="A11" i="10"/>
  <c r="C4" i="10"/>
  <c r="C3" i="10"/>
  <c r="C2" i="10"/>
  <c r="C1" i="10"/>
  <c r="A37" i="9"/>
  <c r="A35" i="9"/>
  <c r="D26" i="9"/>
  <c r="D24" i="9"/>
  <c r="E22" i="9"/>
  <c r="H20" i="9"/>
  <c r="D20" i="9"/>
  <c r="C18" i="9"/>
  <c r="F17" i="9"/>
  <c r="E14" i="9"/>
  <c r="A12" i="9"/>
  <c r="A11" i="9"/>
  <c r="C4" i="9"/>
  <c r="C3" i="9"/>
  <c r="C2" i="9"/>
  <c r="C1" i="9"/>
  <c r="B45" i="8"/>
  <c r="B44" i="8"/>
  <c r="B43" i="8"/>
  <c r="B42" i="8"/>
  <c r="E33" i="8"/>
  <c r="E31" i="8"/>
  <c r="A26" i="8"/>
  <c r="F24" i="8"/>
  <c r="F22" i="8"/>
  <c r="E18" i="8"/>
  <c r="C16" i="8"/>
  <c r="C15" i="8"/>
  <c r="C14" i="8"/>
  <c r="C13" i="8"/>
  <c r="A11" i="8"/>
  <c r="A9" i="8"/>
  <c r="F6" i="8"/>
  <c r="G4" i="8"/>
  <c r="A38" i="7"/>
  <c r="A36" i="7"/>
  <c r="D28" i="7"/>
  <c r="D26" i="7"/>
  <c r="E24" i="7"/>
  <c r="E22" i="7"/>
  <c r="H20" i="7"/>
  <c r="D20" i="7"/>
  <c r="C18" i="7"/>
  <c r="D17" i="7"/>
  <c r="E14" i="7"/>
  <c r="A12" i="7"/>
  <c r="A11" i="7"/>
  <c r="C4" i="7"/>
  <c r="C3" i="7"/>
  <c r="C2" i="7"/>
  <c r="C1" i="7"/>
  <c r="A35" i="6"/>
  <c r="A33" i="6"/>
  <c r="D24" i="6"/>
  <c r="D22" i="6"/>
  <c r="H20" i="6"/>
  <c r="D20" i="6"/>
  <c r="A18" i="6"/>
  <c r="D17" i="6"/>
  <c r="E14" i="6"/>
  <c r="A12" i="6"/>
  <c r="A11" i="6"/>
  <c r="C4" i="6"/>
  <c r="C3" i="6"/>
  <c r="C2" i="6"/>
  <c r="C1" i="6"/>
  <c r="A39" i="5"/>
  <c r="A37" i="5"/>
  <c r="D29" i="5"/>
  <c r="D27" i="5"/>
  <c r="E25" i="5"/>
  <c r="H23" i="5"/>
  <c r="D23" i="5"/>
  <c r="A17" i="5"/>
  <c r="E15" i="5"/>
  <c r="E14" i="5"/>
  <c r="A12" i="5"/>
  <c r="A11" i="5"/>
  <c r="C4" i="5"/>
  <c r="C3" i="5"/>
  <c r="C2" i="5"/>
  <c r="C1" i="5"/>
  <c r="A34" i="4"/>
  <c r="A32" i="4"/>
  <c r="E26" i="4"/>
  <c r="D21" i="4"/>
  <c r="D20" i="4"/>
  <c r="E19" i="4"/>
  <c r="D19" i="4"/>
  <c r="H18" i="4"/>
  <c r="F18" i="4"/>
  <c r="D18" i="4"/>
  <c r="F15" i="4"/>
  <c r="A15" i="4"/>
  <c r="A12" i="4"/>
  <c r="A11" i="4"/>
  <c r="C4" i="4"/>
  <c r="C3" i="4"/>
  <c r="C2" i="4"/>
  <c r="C1" i="4"/>
  <c r="A37" i="3"/>
  <c r="A35" i="3"/>
  <c r="D26" i="3"/>
  <c r="D24" i="3"/>
  <c r="E22" i="3"/>
  <c r="H20" i="3"/>
  <c r="D20" i="3"/>
  <c r="C18" i="3"/>
  <c r="F17" i="3"/>
  <c r="E14" i="3"/>
  <c r="A12" i="3"/>
  <c r="A11" i="3"/>
  <c r="C4" i="3"/>
  <c r="C3" i="3"/>
  <c r="C2" i="3"/>
  <c r="C1" i="3"/>
  <c r="A31" i="2"/>
  <c r="A28" i="2"/>
  <c r="F21" i="2"/>
  <c r="D15" i="2"/>
  <c r="J14" i="2"/>
  <c r="A12" i="2"/>
  <c r="C4" i="2"/>
  <c r="C3" i="2"/>
  <c r="C2" i="2"/>
  <c r="C1" i="2"/>
  <c r="E31" i="1"/>
  <c r="K13" i="11" l="1"/>
  <c r="K14" i="11" s="1"/>
  <c r="E20" i="4"/>
  <c r="H31" i="1"/>
  <c r="E20" i="10" s="1"/>
</calcChain>
</file>

<file path=xl/sharedStrings.xml><?xml version="1.0" encoding="utf-8"?>
<sst xmlns="http://schemas.openxmlformats.org/spreadsheetml/2006/main" count="721" uniqueCount="395">
  <si>
    <t>ШАБЛОН АКТОВ ГНБ — Лист1 (заполняется ботом)</t>
  </si>
  <si>
    <t>ИДЕНТИФИКАЦИЯ</t>
  </si>
  <si>
    <t>Наименование объекта (КЛ ГНБ)</t>
  </si>
  <si>
    <t>ГНБ 10-1С г. Москва, ул. Кантемировская, д.60</t>
  </si>
  <si>
    <t>Название стройки / объект</t>
  </si>
  <si>
    <t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t>
  </si>
  <si>
    <t>Адрес</t>
  </si>
  <si>
    <t>По адресу: г. Москва, ул. Кантемировская, д.60</t>
  </si>
  <si>
    <t>Номер ГНБ перехода</t>
  </si>
  <si>
    <t>ГНБ № 10-1С</t>
  </si>
  <si>
    <t>Номер/шифр проекта</t>
  </si>
  <si>
    <t>ИМ-19-4-Р-3.2Э-ЗП2</t>
  </si>
  <si>
    <t>Дата начала работ</t>
  </si>
  <si>
    <t>01.06.2024 г.</t>
  </si>
  <si>
    <t>Дата окончания работ</t>
  </si>
  <si>
    <t>03.06.2024 г.</t>
  </si>
  <si>
    <t>Исполнитель (организация)</t>
  </si>
  <si>
    <t>ООО «Резонанс-Энерго»</t>
  </si>
  <si>
    <t>Дата завершения работ</t>
  </si>
  <si>
    <t>ОРГАНИЗАЦИИ</t>
  </si>
  <si>
    <t>Заказчик</t>
  </si>
  <si>
    <t>ГКУ «УДМС»</t>
  </si>
  <si>
    <t>Подрядчик</t>
  </si>
  <si>
    <t>Проектировщик</t>
  </si>
  <si>
    <t>АО "МОСИНЖПРОЕКТ"</t>
  </si>
  <si>
    <t>ПОДПИСАНТЫ</t>
  </si>
  <si>
    <t>Кто</t>
  </si>
  <si>
    <t>Описание (организация + должность + ФИО)</t>
  </si>
  <si>
    <t>Подпись для актов (с чертой)</t>
  </si>
  <si>
    <t>Подписант 1 (заказчик)</t>
  </si>
  <si>
    <t xml:space="preserve">Представитель ЮРЭС АО "ОЭК" </t>
  </si>
  <si>
    <t>Представитель Южного РЭС АО "ОЭК" ____________________</t>
  </si>
  <si>
    <t>Подписант 2 (подрядчик)</t>
  </si>
  <si>
    <t>Начальник участка ООО «Резонанс-Энерго» Борков Е.А</t>
  </si>
  <si>
    <t>Начальник участка ООО «Резонанс-Энерго» ______________________Борков Е.А</t>
  </si>
  <si>
    <t>Подписант 3 (опцион.)</t>
  </si>
  <si>
    <t xml:space="preserve"> </t>
  </si>
  <si>
    <t>Инженер-геодезист ООО «Резонанс-Энерго» ______________________Минаков Н.А.</t>
  </si>
  <si>
    <t>Тех.надзор (= подп. 1?)</t>
  </si>
  <si>
    <t>Представитель Южного РЭС АО "ОЭК" и АО "ОЭК"</t>
  </si>
  <si>
    <t>Подписант 3: если пусто — не печатается на листах</t>
  </si>
  <si>
    <t>ТРУБА</t>
  </si>
  <si>
    <t>Марка трубы (полная, с паспортом)</t>
  </si>
  <si>
    <t>Труба "ПЭ тип "С" 110*6,3 техническая (L012) (паспорт  качества от 23.08.2021г.)</t>
  </si>
  <si>
    <t>Диаметр трубы</t>
  </si>
  <si>
    <t xml:space="preserve"> d=110 мм.</t>
  </si>
  <si>
    <t>ПАРАМЕТРЫ ГНБ</t>
  </si>
  <si>
    <t>Номер ГНБ</t>
  </si>
  <si>
    <t>L план</t>
  </si>
  <si>
    <t>L профиль</t>
  </si>
  <si>
    <t>Кол-во труб</t>
  </si>
  <si>
    <t>L трубы</t>
  </si>
  <si>
    <t>d скв</t>
  </si>
  <si>
    <t>Конфигурация</t>
  </si>
  <si>
    <t>Стыки</t>
  </si>
  <si>
    <t>2тр. D=110мм.</t>
  </si>
  <si>
    <t>↑ Данные из этой таблицы используются в АОСР</t>
  </si>
  <si>
    <t>Заказчик:</t>
  </si>
  <si>
    <t xml:space="preserve"> Подрядчик:</t>
  </si>
  <si>
    <t>Объект:</t>
  </si>
  <si>
    <t>Дата:</t>
  </si>
  <si>
    <t>АКТ</t>
  </si>
  <si>
    <t>разбивки закрытого перехода методом ГНБ</t>
  </si>
  <si>
    <t>Комиссия в составе представителей:</t>
  </si>
  <si>
    <t>Инженер-геодезист ООО "Резонанс-Энерго" Минаков Н.А.</t>
  </si>
  <si>
    <t>Представитель ЮРЭС АО "ОЭК"</t>
  </si>
  <si>
    <t>составили настоящий акт о том, что произведена геодезическая разбивка закрытого перехода</t>
  </si>
  <si>
    <t xml:space="preserve">выполняемого методом ГНБ </t>
  </si>
  <si>
    <t>Выполнены следующие работы:</t>
  </si>
  <si>
    <t>-привязка и разбивка приемного и рабочего котлованов к зданиям и сооружениям;</t>
  </si>
  <si>
    <t>-геодезическая разбивка осей перехода;</t>
  </si>
  <si>
    <t xml:space="preserve">Геодезические работы на устройство закрытого перехода  </t>
  </si>
  <si>
    <t xml:space="preserve">методом ГНБ выполнены  </t>
  </si>
  <si>
    <t>в соответствии с СП 126.13330.2017 Геодезические работы в строительстве.</t>
  </si>
  <si>
    <t xml:space="preserve">Представитель  ЮРЭС АО "ОЭК"                             ________________                  </t>
  </si>
  <si>
    <t>Генподрядчик:</t>
  </si>
  <si>
    <t>герметизации концов труб закрытого перехода</t>
  </si>
  <si>
    <t>Произвела осмотр работ выполненных</t>
  </si>
  <si>
    <t>и составила настоящий акт о нижеследующем:</t>
  </si>
  <si>
    <t>1.      К освидетельствованию и приемке предъявлены следующие работы</t>
  </si>
  <si>
    <t>Герметизация концов труб закрытого перехода</t>
  </si>
  <si>
    <t>выполненного методом ГНБ</t>
  </si>
  <si>
    <t xml:space="preserve">Расположенного </t>
  </si>
  <si>
    <t>2. Работы выполнены по проекту</t>
  </si>
  <si>
    <t>Шифр:</t>
  </si>
  <si>
    <t>3. При выполнении работ применены заглушки</t>
  </si>
  <si>
    <t>4. Дата начала работ</t>
  </si>
  <si>
    <t xml:space="preserve">5. Дата окончания работ </t>
  </si>
  <si>
    <t>РЕШЕНИЕ КОМИССИИ</t>
  </si>
  <si>
    <t>Работы выполнены в соответствии с проектом, стандартами, строительными нормами и отвечают требованиям их приемки.</t>
  </si>
  <si>
    <t>На основании изложенного разрешается обратная засыпка приемного и рабочего котлована строительным песком.</t>
  </si>
  <si>
    <t xml:space="preserve">На скрытые работы закрытого перехода выполненного методом ГНБ </t>
  </si>
  <si>
    <t>составили настоящий акт о том, что осмотрены выполненные работы по строительству закрытого перехода</t>
  </si>
  <si>
    <t>методом ГНБ</t>
  </si>
  <si>
    <t>При осмотре установлено:</t>
  </si>
  <si>
    <t>1.</t>
  </si>
  <si>
    <t>Длина закрытого перехода</t>
  </si>
  <si>
    <t>по плану</t>
  </si>
  <si>
    <t>по профилю</t>
  </si>
  <si>
    <t>Количество трубоканалов</t>
  </si>
  <si>
    <t>Общая длина трубоканалов</t>
  </si>
  <si>
    <t>Труба марки</t>
  </si>
  <si>
    <t>Заглушки установлены</t>
  </si>
  <si>
    <t>Трубоканалы пронумерованы, загерметизированы и проходимы</t>
  </si>
  <si>
    <t>Работы выполнены согласно проекта с качеством, удовлетворяющим заказчика</t>
  </si>
  <si>
    <t xml:space="preserve">Работы по устройство закрытого перехода  </t>
  </si>
  <si>
    <t xml:space="preserve">методом ГНБ выполнены в соответствии </t>
  </si>
  <si>
    <t xml:space="preserve">с СП 48.13330.2019 СНиП 12.01-2004 Организация строительства. </t>
  </si>
  <si>
    <t>Технического надзора по устройству закрытого перехода методом ГНБ</t>
  </si>
  <si>
    <t xml:space="preserve">1. Устройство закрытого перехода методом ГНБ </t>
  </si>
  <si>
    <t xml:space="preserve">производилось под непрерывным техническим надзором персонала </t>
  </si>
  <si>
    <t xml:space="preserve">Все технические указания </t>
  </si>
  <si>
    <t xml:space="preserve">уполномоченных лиц выполнены в полном объеме в соответствии с правилами устройства закрытых переходов </t>
  </si>
  <si>
    <t>и производственных инструкций.</t>
  </si>
  <si>
    <t>Технические хар-ки ГНБ Машины: DDW 36/13 , мощностью, кВт – 140</t>
  </si>
  <si>
    <t>Качество работ удовлетворительно.</t>
  </si>
  <si>
    <t>3. При выполнении работ применены Трубы</t>
  </si>
  <si>
    <t>На основании изложенного разрешается производство последующих работ по прокладке кабельной линии</t>
  </si>
  <si>
    <t>технической приемки готового закрытого перехода</t>
  </si>
  <si>
    <t xml:space="preserve">устройство закрытого перехода </t>
  </si>
  <si>
    <t>3. Дата начала работ</t>
  </si>
  <si>
    <t xml:space="preserve">4. Дата окончания работ </t>
  </si>
  <si>
    <t>сдачи-приемки сооружения под прокладку КЛ</t>
  </si>
  <si>
    <t>Строительство закрытого перехода</t>
  </si>
  <si>
    <t>3. При выполнении работ применена труба</t>
  </si>
  <si>
    <t>4. При выполнении работ применены заглушки</t>
  </si>
  <si>
    <t>5. Дата начала работ</t>
  </si>
  <si>
    <t xml:space="preserve">6. Дата окончания работ </t>
  </si>
  <si>
    <t>освидетельствования скрытых работ</t>
  </si>
  <si>
    <t>г. Москва</t>
  </si>
  <si>
    <t>Сооружение закрытого перехода</t>
  </si>
  <si>
    <t>(наименование работ)</t>
  </si>
  <si>
    <t>(наименование здания, сооружения)</t>
  </si>
  <si>
    <t>(район застройки, квартал, улица, № дома и корпуса)</t>
  </si>
  <si>
    <t>Комиссия в составе</t>
  </si>
  <si>
    <t>представителей:</t>
  </si>
  <si>
    <t>Ф.И.О., организация)</t>
  </si>
  <si>
    <t>1.      К освидетельствованию и приемке предъявлены следующие работы_______________________.</t>
  </si>
  <si>
    <t>Устройство закрытого перехода</t>
  </si>
  <si>
    <t xml:space="preserve"> (наименование скрытых работ)</t>
  </si>
  <si>
    <t> </t>
  </si>
  <si>
    <t xml:space="preserve"> (проект серии, наименование проектной организации, № чертежей и дата их составления)</t>
  </si>
  <si>
    <t>3.      При выполнении работ применены следующие материалы:</t>
  </si>
  <si>
    <t xml:space="preserve">заглушки 225 мм трубы проходимы; капроновый шнур затянут; заглушки установлены     </t>
  </si>
  <si>
    <t>(наименование материалов, конструкций с указанием марки, типа, категории качества и т.п.)</t>
  </si>
  <si>
    <t xml:space="preserve">Работы выполнены в соответствии с проектом, стандартами, строительными нормами и </t>
  </si>
  <si>
    <t>отвечают требованиям их приемки.</t>
  </si>
  <si>
    <t>На основании изложенного разрешается производство работ по устройству (монтажу)</t>
  </si>
  <si>
    <t>прокладку эл. кабеля в закрытый переход</t>
  </si>
  <si>
    <t>проверки трубных переходов на соосность</t>
  </si>
  <si>
    <t>проверка на соосность труб закрытого перехода</t>
  </si>
  <si>
    <t>сварки трубы</t>
  </si>
  <si>
    <t>сварка плетей труб для закрытого перехода</t>
  </si>
  <si>
    <t>выполняемого методом ГНБ</t>
  </si>
  <si>
    <t>2. Количество предъявляемых сварочных стыков:</t>
  </si>
  <si>
    <t>3. Работы выполнены по проекту</t>
  </si>
  <si>
    <t>4. При выполнении работ применены Трубы</t>
  </si>
  <si>
    <t>На основании изложенного разрешается затяжка пэ труб в скважину закрытого перехода.</t>
  </si>
  <si>
    <t>ИНВЕНТАРНАЯ ОПИСЬ</t>
  </si>
  <si>
    <t>ЭЛЕМЕНТОВ ЗАКРЫТОГО ПЕРЕХОДА</t>
  </si>
  <si>
    <t>Закрытый переход</t>
  </si>
  <si>
    <t>Расположенный</t>
  </si>
  <si>
    <t>№ п.п.</t>
  </si>
  <si>
    <t>Материалы</t>
  </si>
  <si>
    <t>Ед. изм.</t>
  </si>
  <si>
    <t>Кол-во</t>
  </si>
  <si>
    <t>Труба</t>
  </si>
  <si>
    <t>м.п.</t>
  </si>
  <si>
    <t xml:space="preserve">Капроновый шнур </t>
  </si>
  <si>
    <t>Заглушки</t>
  </si>
  <si>
    <t>шт</t>
  </si>
  <si>
    <t>GNB master template: internal acts + AOSR</t>
  </si>
  <si>
    <t>What is inside:
1. Sheets 02-12 = internal acts workbook.
2. Sheets 13-15 = AOSR workbook.
3. This file is a master template for unification and future move to one data layer.
4. It is not wired into runtime yet.
How to use:
- print selected sheets/pages as needed;
- keep this workbook as the analysis and redesign base.</t>
  </si>
  <si>
    <t>переход №</t>
  </si>
  <si>
    <t>Lпр=</t>
  </si>
  <si>
    <t>Длина труб=</t>
  </si>
  <si>
    <t>Дата начала</t>
  </si>
  <si>
    <t>Дата окончания</t>
  </si>
  <si>
    <t>Дата АОСР</t>
  </si>
  <si>
    <t>Приказ Минстроя  №344/пр от 16.05.2023</t>
  </si>
  <si>
    <t>приложение №2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</si>
  <si>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</si>
  <si>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</si>
  <si>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</si>
  <si>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>(ФИО, адрес места жительства, ОГРНИП, ИНН индивидуального предпринимателя, полное или сокращенное наименование,  ОГРН, ИНН, адрес  юр. лица в пределах его нахождения, телефон или факс, 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ФИО,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</si>
  <si>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</si>
  <si>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>(фамилия, имя, отчество (последнее -  при наличии), адрес места жительства, ОГРНИП, ИНН индивидуального предпринимателя, полное и (или) сокращенное наименование,  ОГРН, ИНН, адрес юридического лица в пределах его местонахождения, телефон или факс, полное или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</si>
  <si>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</si>
  <si>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(ФИО, адрес места жительства, ОГРНИП, ИНН индивидуального предпринимателя, полное или сокращенное наименование,  ОГРН, ИНН, адрес юр. лица в пределах его места нахождения, телефон или факс, полное и (или)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</si>
  <si>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разбивки осей объекта капитального строительства на местности</t>
  </si>
  <si>
    <t>№</t>
  </si>
  <si>
    <t>"</t>
  </si>
  <si>
    <t>г.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</si>
  <si>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</si>
  <si>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</si>
  <si>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>Представитель застройщика, технического заказчика, лица, ответственного за эксплуатацию здания, сооружения</t>
  </si>
  <si>
    <t>Акимов Ю.О.</t>
  </si>
  <si>
    <t>Панин Д.А.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</si>
  <si>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 , ФИО, адреса места жительства, ОГРНИП, ИНН индивидуального предпринимателя 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</si>
  <si>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</si>
  <si>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</si>
  <si>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</si>
  <si>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
реквизиты распорядительного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</si>
  <si>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</si>
  <si>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фамилии, имени, отчества, адреса места жительства, ОГРНИП, ИНН индивидуального предпринимателя)</t>
  </si>
  <si>
    <t>Представитель лица, выполнившего работы по разбивке осей объекта капитального  строительства  на местности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</si>
  <si>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ФИО, адреса места жительства, ОГРНИП, ИНН индивидуального предпринимателя)</t>
  </si>
  <si>
    <t>составили настоящий акт о том, что произведена в натуре разбивка осей</t>
  </si>
  <si>
    <t>объекта капитального строительства</t>
  </si>
  <si>
    <t>(наименование объекта капитального строительства)</t>
  </si>
  <si>
    <t>При этом установлено:</t>
  </si>
  <si>
    <t>1.Разбивка произведена по данным</t>
  </si>
  <si>
    <t>(номер, другие реквизиты чертежа, наименование проектной документации)</t>
  </si>
  <si>
    <t>2. Закрепление осей произведено</t>
  </si>
  <si>
    <t>колышками разбивки при помощи геодезического оборудования.</t>
  </si>
  <si>
    <t>3. Обозначение осей, нумерация и расположение точек соответствует проектной документации.</t>
  </si>
  <si>
    <t>Разбивка осей объекта капитального строительства на местности соответствует требованиям проектной документации, а также техническим регламентам (нормам и правилам), иным нормативным правовым актам</t>
  </si>
  <si>
    <t xml:space="preserve">(номер, другие реквизиты чертежа, наименование проектной документации,  сведения о лицах, осуществляющих подготовку </t>
  </si>
  <si>
    <t>СП 126.13330.2017 «Геодезические работы в строительстве». СНиП 3.01.03-84</t>
  </si>
  <si>
    <t>раздела проектной рабочей документации, наименования и структурные единицы технических регламентов, иных нормативных правовых актов)</t>
  </si>
  <si>
    <t>и выполнена с соблюдением заданной точности построений и измерений.</t>
  </si>
  <si>
    <t>Дополнительные сведения</t>
  </si>
  <si>
    <t>отсутствуют</t>
  </si>
  <si>
    <t xml:space="preserve">Акт составлен в  </t>
  </si>
  <si>
    <t>экземплярах (в случае заполнения акта на бумажном носителе).</t>
  </si>
  <si>
    <t>Приложения:</t>
  </si>
  <si>
    <t>(схема закрепления осей)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</si>
  <si>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</si>
  <si>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</si>
  <si>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</si>
  <si>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</si>
  <si>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(подпись)</t>
  </si>
  <si>
    <t>Представитель застройщика, технического заказчика, лица, ответственного за эксплуатацию здания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</si>
  <si>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</si>
  <si>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</si>
  <si>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Представитель лица, выполнившего работы по разбивке осей объекта капитального строительства на местности (в случае выполнения работ по договорам о строительстве, реконструкции, капитальном ремонте объектов капитального строительства, заключенным с иными лицами)</t>
  </si>
  <si>
    <t>приложение №3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</si>
  <si>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</si>
  <si>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произвели осмотр работ, выполненных</t>
  </si>
  <si>
    <t>(полное и (или) сокращенное наименование или ФИО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</si>
  <si>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</si>
  <si>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</si>
  <si>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</si>
  <si>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</si>
  <si>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</si>
  <si>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</si>
  <si>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>(наименования строительных  материалов (изделий), реквизиты сертификатов или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</si>
  <si>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</si>
  <si>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</si>
  <si>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</si>
  <si>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</si>
  <si>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</si>
  <si>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>6. Работы выполнены в соответствии с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</si>
  <si>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</si>
  <si>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</si>
  <si>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FieldKey</t>
  </si>
  <si>
    <t>Group</t>
  </si>
  <si>
    <t>RawOrFormatted</t>
  </si>
  <si>
    <t>ActsTarget</t>
  </si>
  <si>
    <t>AosrTarget</t>
  </si>
  <si>
    <t>Notes</t>
  </si>
  <si>
    <t>gnb_number</t>
  </si>
  <si>
    <t>identity</t>
  </si>
  <si>
    <t>raw</t>
  </si>
  <si>
    <t>B6/A31</t>
  </si>
  <si>
    <t>B2(short)</t>
  </si>
  <si>
    <t>full number for acts, short derived for AOSR</t>
  </si>
  <si>
    <t>gnb_number_short</t>
  </si>
  <si>
    <t>-</t>
  </si>
  <si>
    <t>B2</t>
  </si>
  <si>
    <t>number without prefix</t>
  </si>
  <si>
    <t>title_line</t>
  </si>
  <si>
    <t>B3</t>
  </si>
  <si>
    <t>A4</t>
  </si>
  <si>
    <t>long object title</t>
  </si>
  <si>
    <t>object_name</t>
  </si>
  <si>
    <t>B4</t>
  </si>
  <si>
    <t>acts-only visual field today</t>
  </si>
  <si>
    <t>address</t>
  </si>
  <si>
    <t>B5</t>
  </si>
  <si>
    <t>shared</t>
  </si>
  <si>
    <t>project_number</t>
  </si>
  <si>
    <t>B7</t>
  </si>
  <si>
    <t>A45</t>
  </si>
  <si>
    <t>project doc line in AOSR</t>
  </si>
  <si>
    <t>executor</t>
  </si>
  <si>
    <t>B10</t>
  </si>
  <si>
    <t>acts-only field</t>
  </si>
  <si>
    <t>start_date_day</t>
  </si>
  <si>
    <t>dates</t>
  </si>
  <si>
    <t>C6</t>
  </si>
  <si>
    <t>AOSR component</t>
  </si>
  <si>
    <t>start_date_month</t>
  </si>
  <si>
    <t>D6</t>
  </si>
  <si>
    <t>start_date_year</t>
  </si>
  <si>
    <t>E6</t>
  </si>
  <si>
    <t>end_date_day</t>
  </si>
  <si>
    <t>C7</t>
  </si>
  <si>
    <t>end_date_month</t>
  </si>
  <si>
    <t>D7</t>
  </si>
  <si>
    <t>end_date_year</t>
  </si>
  <si>
    <t>E7</t>
  </si>
  <si>
    <t>act_date_day</t>
  </si>
  <si>
    <t>C8</t>
  </si>
  <si>
    <t>act_date_month</t>
  </si>
  <si>
    <t>D8</t>
  </si>
  <si>
    <t>act_date_year</t>
  </si>
  <si>
    <t>E8</t>
  </si>
  <si>
    <t>start_date_internal</t>
  </si>
  <si>
    <t>formatted</t>
  </si>
  <si>
    <t>B8</t>
  </si>
  <si>
    <t>formatted acts string</t>
  </si>
  <si>
    <t>end_date_internal</t>
  </si>
  <si>
    <t>B9</t>
  </si>
  <si>
    <t>act_date_internal</t>
  </si>
  <si>
    <t>B11</t>
  </si>
  <si>
    <t>org_customer_display</t>
  </si>
  <si>
    <t>organizations</t>
  </si>
  <si>
    <t>B14</t>
  </si>
  <si>
    <t>department + short name</t>
  </si>
  <si>
    <t>org_customer_full_aosr</t>
  </si>
  <si>
    <t>A7</t>
  </si>
  <si>
    <t>full requisites string</t>
  </si>
  <si>
    <t>org_contractor_display</t>
  </si>
  <si>
    <t>B15</t>
  </si>
  <si>
    <t>acts display</t>
  </si>
  <si>
    <t>org_contractor_full_aosr</t>
  </si>
  <si>
    <t>A10</t>
  </si>
  <si>
    <t>org_designer_display</t>
  </si>
  <si>
    <t>B16</t>
  </si>
  <si>
    <t>org_designer_full_aosr</t>
  </si>
  <si>
    <t>A13</t>
  </si>
  <si>
    <t>sign1_desc</t>
  </si>
  <si>
    <t>signatories</t>
  </si>
  <si>
    <t>B20</t>
  </si>
  <si>
    <t>acts B-column</t>
  </si>
  <si>
    <t>sign1_line</t>
  </si>
  <si>
    <t>C20</t>
  </si>
  <si>
    <t>acts C-column</t>
  </si>
  <si>
    <t>sign1_full_aosr</t>
  </si>
  <si>
    <t>A24</t>
  </si>
  <si>
    <t>full AOSR line</t>
  </si>
  <si>
    <t>sign2_desc</t>
  </si>
  <si>
    <t>B21</t>
  </si>
  <si>
    <t>sign2_line</t>
  </si>
  <si>
    <t>C21</t>
  </si>
  <si>
    <t>sign2_full_aosr</t>
  </si>
  <si>
    <t>A27/A30</t>
  </si>
  <si>
    <t>sign3_desc</t>
  </si>
  <si>
    <t>B22</t>
  </si>
  <si>
    <t>acts B-column optional</t>
  </si>
  <si>
    <t>sign3_line</t>
  </si>
  <si>
    <t>C22</t>
  </si>
  <si>
    <t>acts C-column optional</t>
  </si>
  <si>
    <t>sign3_full_aosr</t>
  </si>
  <si>
    <t>A36</t>
  </si>
  <si>
    <t>tech_desc</t>
  </si>
  <si>
    <t>B23</t>
  </si>
  <si>
    <t>tech_line</t>
  </si>
  <si>
    <t>C23</t>
  </si>
  <si>
    <t>tech_full_aosr</t>
  </si>
  <si>
    <t>A22</t>
  </si>
  <si>
    <t>pipe_mark</t>
  </si>
  <si>
    <t>pipe</t>
  </si>
  <si>
    <t>B26</t>
  </si>
  <si>
    <t>A49(part)</t>
  </si>
  <si>
    <t>shared source</t>
  </si>
  <si>
    <t>pipe_diameter_display</t>
  </si>
  <si>
    <t>B27</t>
  </si>
  <si>
    <t>acts display value</t>
  </si>
  <si>
    <t>profile_length</t>
  </si>
  <si>
    <t>gnb_params</t>
  </si>
  <si>
    <t>C31</t>
  </si>
  <si>
    <t>plan_length</t>
  </si>
  <si>
    <t>B31</t>
  </si>
  <si>
    <t>acts-only today</t>
  </si>
  <si>
    <t>pipe_count</t>
  </si>
  <si>
    <t>D31</t>
  </si>
  <si>
    <t>C3</t>
  </si>
  <si>
    <t>total_pipe_length</t>
  </si>
  <si>
    <t>formula</t>
  </si>
  <si>
    <t>E31</t>
  </si>
  <si>
    <t>derived</t>
  </si>
  <si>
    <t>drill_diameter</t>
  </si>
  <si>
    <t>F31</t>
  </si>
  <si>
    <t>configuration</t>
  </si>
  <si>
    <t>G31</t>
  </si>
  <si>
    <t>legacy field, verify necessity</t>
  </si>
  <si>
    <t>materials_aosr</t>
  </si>
  <si>
    <t>materials</t>
  </si>
  <si>
    <t>A49</t>
  </si>
  <si>
    <t>combined materials/certs string</t>
  </si>
  <si>
    <t>subsequent_works</t>
  </si>
  <si>
    <t>A59</t>
  </si>
  <si>
    <t>default AOSR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</si>
</sst>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38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0"/>
      <color rgb="FF666666"/>
      <name val="Arial"/>
      <charset val="1"/>
    </font>
    <font>
      <sz val="11"/>
      <name val="Times New Roman"/>
      <charset val="1"/>
    </font>
    <font>
      <b/>
      <sz val="10"/>
      <name val="Arial"/>
      <charset val="1"/>
    </font>
    <font>
      <i/>
      <sz val="9"/>
      <color rgb="FF999999"/>
      <name val="Arial"/>
      <charset val="1"/>
    </font>
    <font>
      <sz val="10"/>
      <name val="Arial"/>
      <charset val="1"/>
    </font>
    <font>
      <b/>
      <sz val="10.5"/>
      <name val="Times New Roman"/>
      <family val="1"/>
      <charset val="204"/>
    </font>
    <font>
      <i/>
      <sz val="10.5"/>
      <name val="Times New Roman"/>
      <family val="1"/>
      <charset val="204"/>
    </font>
    <font>
      <i/>
      <u/>
      <sz val="10.5"/>
      <name val="Times New Roman"/>
      <family val="1"/>
      <charset val="204"/>
    </font>
    <font>
      <sz val="10.5"/>
      <name val="Times New Roman"/>
      <family val="1"/>
      <charset val="204"/>
    </font>
    <font>
      <u/>
      <sz val="10.5"/>
      <name val="Times New Roman"/>
      <family val="1"/>
      <charset val="204"/>
    </font>
    <font>
      <b/>
      <i/>
      <sz val="10.5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i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10.5"/>
      <color rgb="FF000000"/>
      <name val="Times New Roman"/>
      <family val="1"/>
      <charset val="204"/>
    </font>
    <font>
      <b/>
      <sz val="16"/>
      <color theme="1"/>
      <name val="Calibri"/>
      <family val="2"/>
      <charset val="204"/>
    </font>
    <font>
      <sz val="9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i/>
      <sz val="10"/>
      <name val="Tahoma"/>
      <family val="2"/>
      <charset val="1"/>
    </font>
    <font>
      <b/>
      <i/>
      <sz val="9"/>
      <name val="Tahoma"/>
      <family val="2"/>
      <charset val="1"/>
    </font>
    <font>
      <i/>
      <sz val="8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8E8E8"/>
        <bgColor rgb="FFFFF0E0"/>
      </patternFill>
    </fill>
    <fill>
      <patternFill patternType="solid">
        <fgColor rgb="FFFFFFDD"/>
        <bgColor rgb="FFFFF0E0"/>
      </patternFill>
    </fill>
    <fill>
      <patternFill patternType="solid">
        <fgColor rgb="FFFFF0E0"/>
        <bgColor rgb="FFFFFFDD"/>
      </patternFill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0" fillId="0" borderId="0"/>
  </cellStyleXfs>
  <cellXfs count="171">
    <xf numFmtId="0" fontId="0" fillId="0" borderId="0" xfId="0"/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/>
    </xf>
    <xf numFmtId="0" fontId="12" fillId="0" borderId="0" xfId="0" applyFont="1" applyAlignment="1">
      <alignment horizontal="left" vertical="top" wrapText="1"/>
    </xf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0" borderId="2" xfId="0" applyFont="1" applyBorder="1"/>
    <xf numFmtId="0" fontId="13" fillId="0" borderId="0" xfId="0" applyFont="1"/>
    <xf numFmtId="0" fontId="13" fillId="0" borderId="3" xfId="0" applyFont="1" applyBorder="1"/>
    <xf numFmtId="0" fontId="11" fillId="0" borderId="3" xfId="0" applyFont="1" applyBorder="1"/>
    <xf numFmtId="0" fontId="8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/>
    </xf>
    <xf numFmtId="0" fontId="14" fillId="0" borderId="0" xfId="0" applyFont="1"/>
    <xf numFmtId="0" fontId="13" fillId="0" borderId="4" xfId="0" applyFont="1" applyBorder="1"/>
    <xf numFmtId="0" fontId="11" fillId="0" borderId="0" xfId="0" applyFont="1" applyAlignment="1">
      <alignment vertical="center"/>
    </xf>
    <xf numFmtId="0" fontId="8" fillId="0" borderId="3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20" fillId="0" borderId="0" xfId="0" applyFont="1"/>
    <xf numFmtId="0" fontId="17" fillId="0" borderId="3" xfId="0" applyFont="1" applyBorder="1"/>
    <xf numFmtId="0" fontId="17" fillId="0" borderId="0" xfId="0" applyFont="1"/>
    <xf numFmtId="0" fontId="18" fillId="0" borderId="0" xfId="0" applyFont="1"/>
    <xf numFmtId="0" fontId="7" fillId="0" borderId="3" xfId="0" applyFont="1" applyBorder="1"/>
    <xf numFmtId="0" fontId="17" fillId="0" borderId="5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3" fillId="0" borderId="0" xfId="0" applyFont="1"/>
    <xf numFmtId="49" fontId="11" fillId="0" borderId="0" xfId="0" applyNumberFormat="1" applyFont="1"/>
    <xf numFmtId="0" fontId="12" fillId="0" borderId="0" xfId="0" applyFont="1" applyAlignment="1">
      <alignment vertical="top" wrapText="1"/>
    </xf>
    <xf numFmtId="0" fontId="1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8" xfId="0" applyFont="1" applyBorder="1" applyAlignment="1">
      <alignment wrapText="1"/>
    </xf>
    <xf numFmtId="1" fontId="11" fillId="0" borderId="1" xfId="0" applyNumberFormat="1" applyFont="1" applyBorder="1" applyAlignment="1">
      <alignment horizontal="center" vertical="center"/>
    </xf>
    <xf numFmtId="0" fontId="20" fillId="0" borderId="0" xfId="1"/>
    <xf numFmtId="49" fontId="20" fillId="0" borderId="0" xfId="1" applyNumberFormat="1" applyAlignment="1">
      <alignment horizontal="center"/>
    </xf>
    <xf numFmtId="0" fontId="20" fillId="0" borderId="0" xfId="1" applyAlignment="1">
      <alignment horizontal="center"/>
    </xf>
    <xf numFmtId="2" fontId="20" fillId="0" borderId="0" xfId="1" applyNumberFormat="1" applyAlignment="1">
      <alignment horizontal="center"/>
    </xf>
    <xf numFmtId="0" fontId="17" fillId="0" borderId="0" xfId="1" applyFont="1"/>
    <xf numFmtId="0" fontId="26" fillId="0" borderId="0" xfId="1" applyFont="1" applyAlignment="1">
      <alignment horizontal="right"/>
    </xf>
    <xf numFmtId="0" fontId="20" fillId="0" borderId="0" xfId="1" applyAlignment="1">
      <alignment wrapText="1"/>
    </xf>
    <xf numFmtId="0" fontId="19" fillId="0" borderId="0" xfId="1" applyFont="1" applyAlignment="1">
      <alignment horizontal="center"/>
    </xf>
    <xf numFmtId="0" fontId="29" fillId="0" borderId="0" xfId="1" applyFont="1" applyAlignment="1">
      <alignment horizontal="right"/>
    </xf>
    <xf numFmtId="0" fontId="20" fillId="0" borderId="0" xfId="1" applyAlignment="1">
      <alignment horizontal="right"/>
    </xf>
    <xf numFmtId="0" fontId="20" fillId="0" borderId="0" xfId="1" applyAlignment="1">
      <alignment horizontal="left"/>
    </xf>
    <xf numFmtId="0" fontId="22" fillId="0" borderId="0" xfId="1" applyFont="1" applyAlignment="1">
      <alignment horizontal="left" vertical="top"/>
    </xf>
    <xf numFmtId="0" fontId="30" fillId="0" borderId="0" xfId="1" applyFont="1"/>
    <xf numFmtId="0" fontId="17" fillId="0" borderId="0" xfId="1" applyFont="1" applyAlignment="1">
      <alignment vertical="center"/>
    </xf>
    <xf numFmtId="0" fontId="20" fillId="0" borderId="0" xfId="1" applyAlignment="1">
      <alignment horizontal="left" vertical="center"/>
    </xf>
    <xf numFmtId="0" fontId="20" fillId="0" borderId="0" xfId="1" applyAlignment="1">
      <alignment horizontal="center" vertical="center"/>
    </xf>
    <xf numFmtId="0" fontId="20" fillId="0" borderId="0" xfId="1" applyAlignment="1">
      <alignment vertical="center"/>
    </xf>
    <xf numFmtId="0" fontId="31" fillId="0" borderId="0" xfId="1" applyFont="1" applyAlignment="1">
      <alignment horizontal="lef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22" fillId="0" borderId="0" xfId="1" applyFont="1" applyAlignment="1">
      <alignment horizontal="center" vertical="center" wrapText="1"/>
    </xf>
    <xf numFmtId="0" fontId="22" fillId="0" borderId="0" xfId="1" applyFont="1" applyAlignment="1">
      <alignment horizontal="center" vertical="center"/>
    </xf>
    <xf numFmtId="0" fontId="17" fillId="0" borderId="0" xfId="1" applyFont="1" applyAlignment="1">
      <alignment horizontal="center"/>
    </xf>
    <xf numFmtId="0" fontId="34" fillId="0" borderId="0" xfId="1" applyFont="1" applyAlignment="1">
      <alignment horizontal="center" vertical="center"/>
    </xf>
    <xf numFmtId="0" fontId="35" fillId="0" borderId="0" xfId="1" applyFont="1"/>
    <xf numFmtId="0" fontId="23" fillId="0" borderId="0" xfId="1" applyFont="1" applyAlignment="1">
      <alignment vertical="center" wrapText="1"/>
    </xf>
    <xf numFmtId="0" fontId="23" fillId="0" borderId="0" xfId="1" applyFont="1" applyAlignment="1">
      <alignment vertical="center"/>
    </xf>
    <xf numFmtId="0" fontId="27" fillId="0" borderId="0" xfId="1" applyFont="1" applyAlignment="1">
      <alignment horizontal="center"/>
    </xf>
    <xf numFmtId="0" fontId="26" fillId="0" borderId="0" xfId="1" applyFont="1"/>
    <xf numFmtId="0" fontId="32" fillId="0" borderId="0" xfId="1" applyFont="1"/>
    <xf numFmtId="0" fontId="17" fillId="0" borderId="0" xfId="1" applyFont="1" applyAlignment="1">
      <alignment horizontal="left"/>
    </xf>
    <xf numFmtId="0" fontId="32" fillId="0" borderId="0" xfId="1" applyFont="1" applyAlignment="1">
      <alignment horizontal="right"/>
    </xf>
    <xf numFmtId="0" fontId="37" fillId="0" borderId="0" xfId="0" applyFont="1"/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right"/>
    </xf>
    <xf numFmtId="0" fontId="13" fillId="0" borderId="3" xfId="0" applyFont="1" applyBorder="1" applyAlignment="1">
      <alignment horizontal="right" indent="1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164" fontId="17" fillId="0" borderId="0" xfId="0" applyNumberFormat="1" applyFont="1" applyAlignment="1">
      <alignment horizontal="center" vertical="top" wrapText="1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13" fillId="0" borderId="3" xfId="0" applyFont="1" applyBorder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13" fillId="0" borderId="3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17" fillId="0" borderId="3" xfId="0" applyFont="1" applyBorder="1" applyAlignment="1">
      <alignment horizontal="right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21" fillId="0" borderId="0" xfId="0" applyFont="1" applyAlignment="1">
      <alignment horizontal="center" vertical="top"/>
    </xf>
    <xf numFmtId="0" fontId="17" fillId="0" borderId="3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7" fillId="0" borderId="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1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1" fontId="13" fillId="0" borderId="3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164" fontId="24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9" xfId="0" applyFont="1" applyBorder="1" applyAlignment="1">
      <alignment horizontal="left" wrapText="1"/>
    </xf>
    <xf numFmtId="0" fontId="11" fillId="0" borderId="10" xfId="0" applyFont="1" applyBorder="1" applyAlignment="1">
      <alignment horizontal="left"/>
    </xf>
    <xf numFmtId="0" fontId="27" fillId="0" borderId="3" xfId="1" applyFont="1" applyBorder="1" applyAlignment="1">
      <alignment horizontal="center"/>
    </xf>
    <xf numFmtId="0" fontId="28" fillId="0" borderId="6" xfId="1" applyFont="1" applyBorder="1" applyAlignment="1">
      <alignment horizontal="center" vertical="center" wrapText="1"/>
    </xf>
    <xf numFmtId="0" fontId="28" fillId="0" borderId="6" xfId="1" applyFont="1" applyBorder="1" applyAlignment="1">
      <alignment horizontal="center" vertical="center"/>
    </xf>
    <xf numFmtId="0" fontId="26" fillId="0" borderId="0" xfId="1" applyFont="1" applyAlignment="1">
      <alignment horizontal="left" vertical="center" wrapText="1"/>
    </xf>
    <xf numFmtId="0" fontId="20" fillId="0" borderId="0" xfId="1" applyAlignment="1">
      <alignment horizontal="left" vertical="center" wrapText="1"/>
    </xf>
    <xf numFmtId="0" fontId="27" fillId="0" borderId="3" xfId="1" applyFont="1" applyBorder="1" applyAlignment="1">
      <alignment horizontal="center" vertical="center"/>
    </xf>
    <xf numFmtId="0" fontId="20" fillId="0" borderId="3" xfId="1" applyBorder="1" applyAlignment="1">
      <alignment horizontal="center"/>
    </xf>
    <xf numFmtId="0" fontId="27" fillId="0" borderId="3" xfId="1" applyFont="1" applyBorder="1" applyAlignment="1">
      <alignment horizontal="left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 vertical="center" wrapText="1"/>
    </xf>
    <xf numFmtId="0" fontId="27" fillId="0" borderId="3" xfId="1" applyFont="1" applyBorder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20" fillId="0" borderId="0" xfId="1" applyAlignment="1">
      <alignment horizontal="left" wrapText="1"/>
    </xf>
    <xf numFmtId="0" fontId="27" fillId="5" borderId="3" xfId="1" applyFont="1" applyFill="1" applyBorder="1" applyAlignment="1">
      <alignment horizontal="center" vertical="center" wrapText="1"/>
    </xf>
    <xf numFmtId="0" fontId="20" fillId="0" borderId="6" xfId="1" applyBorder="1" applyAlignment="1">
      <alignment horizontal="left" vertical="center" wrapText="1"/>
    </xf>
    <xf numFmtId="0" fontId="27" fillId="0" borderId="0" xfId="1" applyFont="1" applyAlignment="1">
      <alignment horizontal="left" vertical="center"/>
    </xf>
    <xf numFmtId="0" fontId="29" fillId="0" borderId="0" xfId="1" applyFont="1" applyAlignment="1">
      <alignment horizontal="center" vertical="center"/>
    </xf>
    <xf numFmtId="0" fontId="29" fillId="0" borderId="0" xfId="1" applyFont="1" applyAlignment="1">
      <alignment horizontal="center"/>
    </xf>
    <xf numFmtId="0" fontId="27" fillId="0" borderId="4" xfId="1" applyFont="1" applyBorder="1" applyAlignment="1">
      <alignment horizontal="center"/>
    </xf>
    <xf numFmtId="0" fontId="27" fillId="0" borderId="3" xfId="1" applyFont="1" applyBorder="1" applyAlignment="1">
      <alignment horizontal="left" vertical="center" wrapText="1"/>
    </xf>
    <xf numFmtId="0" fontId="36" fillId="0" borderId="3" xfId="1" applyFont="1" applyBorder="1" applyAlignment="1">
      <alignment horizontal="center"/>
    </xf>
    <xf numFmtId="2" fontId="36" fillId="0" borderId="3" xfId="1" applyNumberFormat="1" applyFont="1" applyBorder="1" applyAlignment="1">
      <alignment horizontal="center" vertical="center" wrapText="1"/>
    </xf>
    <xf numFmtId="0" fontId="27" fillId="0" borderId="0" xfId="1" applyFont="1" applyAlignment="1">
      <alignment horizontal="center"/>
    </xf>
    <xf numFmtId="0" fontId="36" fillId="0" borderId="3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71F2915D-02D0-418C-B27D-9D4C5318F990}"/>
  </cellStyles>
  <dxfs count="0"/>
  <tableStyles count="0" defaultTableStyle="TableStyleMedium2" defaultPivotStyle="PivotStyleLight16"/>
  <colors>
    <indexedColors>
      <rgbColor rgb="FF000000"/>
      <rgbColor rgb="FFFFF0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D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ubko\projects\gnb-bot\templates\&#1040;&#1054;&#1057;&#1056;%20&#1096;&#1072;&#1073;&#1083;&#1086;&#1085;.xlsx" TargetMode="External"/><Relationship Id="rId1" Type="http://schemas.openxmlformats.org/officeDocument/2006/relationships/externalLinkPath" Target="&#1040;&#1054;&#1057;&#1056;%20&#1096;&#1072;&#1073;&#1083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  <sheetName val="АОСР (1)"/>
      <sheetName val="АОСР (2)"/>
    </sheetNames>
    <sheetDataSet>
      <sheetData sheetId="0">
        <row r="2">
          <cell r="B2"/>
        </row>
        <row r="3">
          <cell r="B3"/>
        </row>
        <row r="4">
          <cell r="B4">
            <v>0</v>
          </cell>
        </row>
        <row r="5">
          <cell r="B5"/>
        </row>
        <row r="6">
          <cell r="C6"/>
          <cell r="D6"/>
          <cell r="E6"/>
        </row>
        <row r="7">
          <cell r="C7"/>
          <cell r="D7"/>
          <cell r="E7"/>
        </row>
        <row r="8">
          <cell r="C8"/>
          <cell r="D8"/>
          <cell r="E8"/>
        </row>
      </sheetData>
      <sheetData sheetId="1">
        <row r="4">
          <cell r="A4"/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</row>
        <row r="7">
          <cell r="A7"/>
          <cell r="B7"/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</row>
        <row r="10">
          <cell r="A10"/>
          <cell r="B10"/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</row>
        <row r="13">
          <cell r="A13"/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</row>
        <row r="22">
          <cell r="A22"/>
          <cell r="B22"/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</row>
        <row r="24">
          <cell r="A24"/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</row>
        <row r="27">
          <cell r="A27"/>
          <cell r="B27"/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</row>
        <row r="30">
          <cell r="A30"/>
          <cell r="B30"/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</row>
        <row r="45">
          <cell r="A45"/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</row>
      </sheetData>
      <sheetData sheetId="2">
        <row r="64">
          <cell r="A64" t="str">
            <v>1. Исполнительный чертеж ЗП № (по адресу: )</v>
          </cell>
          <cell r="B64"/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17B6-BFB1-47E8-8AC4-A086072C3806}">
  <dimension ref="A1:F48"/>
  <sheetViews>
    <sheetView tabSelected="1" workbookViewId="0"/>
  </sheetViews>
  <sheetFormatPr defaultRowHeight="14.4" x14ac:dyDescent="0.3"/>
  <cols>
    <col min="1" max="1" width="21.77734375" bestFit="1" customWidth="1"/>
    <col min="2" max="2" width="11.88671875" bestFit="1" customWidth="1"/>
    <col min="3" max="3" width="15.44140625" bestFit="1" customWidth="1"/>
    <col min="4" max="4" width="9.88671875" bestFit="1" customWidth="1"/>
    <col min="5" max="5" width="10.109375" bestFit="1" customWidth="1"/>
    <col min="6" max="6" width="36.88671875" bestFit="1" customWidth="1"/>
  </cols>
  <sheetData>
    <row r="1" spans="1:6" x14ac:dyDescent="0.3">
      <c r="A1" s="103" t="s">
        <v>255</v>
      </c>
      <c r="B1" s="103" t="s">
        <v>256</v>
      </c>
      <c r="C1" s="103" t="s">
        <v>257</v>
      </c>
      <c r="D1" s="103" t="s">
        <v>258</v>
      </c>
      <c r="E1" s="103" t="s">
        <v>259</v>
      </c>
      <c r="F1" s="103" t="s">
        <v>260</v>
      </c>
    </row>
    <row r="2" spans="1:6" x14ac:dyDescent="0.3">
      <c r="A2" t="s">
        <v>261</v>
      </c>
      <c r="B2" t="s">
        <v>262</v>
      </c>
      <c r="C2" t="s">
        <v>263</v>
      </c>
      <c r="D2" t="s">
        <v>264</v>
      </c>
      <c r="E2" t="s">
        <v>265</v>
      </c>
      <c r="F2" t="s">
        <v>266</v>
      </c>
    </row>
    <row r="3" spans="1:6" x14ac:dyDescent="0.3">
      <c r="A3" t="s">
        <v>267</v>
      </c>
      <c r="B3" t="s">
        <v>262</v>
      </c>
      <c r="C3" t="s">
        <v>263</v>
      </c>
      <c r="D3" t="s">
        <v>268</v>
      </c>
      <c r="E3" t="s">
        <v>269</v>
      </c>
      <c r="F3" t="s">
        <v>270</v>
      </c>
    </row>
    <row r="4" spans="1:6" x14ac:dyDescent="0.3">
      <c r="A4" t="s">
        <v>271</v>
      </c>
      <c r="B4" t="s">
        <v>262</v>
      </c>
      <c r="C4" t="s">
        <v>263</v>
      </c>
      <c r="D4" t="s">
        <v>272</v>
      </c>
      <c r="E4" t="s">
        <v>273</v>
      </c>
      <c r="F4" t="s">
        <v>274</v>
      </c>
    </row>
    <row r="5" spans="1:6" x14ac:dyDescent="0.3">
      <c r="A5" t="s">
        <v>275</v>
      </c>
      <c r="B5" t="s">
        <v>262</v>
      </c>
      <c r="C5" t="s">
        <v>263</v>
      </c>
      <c r="D5" t="s">
        <v>276</v>
      </c>
      <c r="E5" t="s">
        <v>268</v>
      </c>
      <c r="F5" t="s">
        <v>277</v>
      </c>
    </row>
    <row r="6" spans="1:6" x14ac:dyDescent="0.3">
      <c r="A6" t="s">
        <v>278</v>
      </c>
      <c r="B6" t="s">
        <v>262</v>
      </c>
      <c r="C6" t="s">
        <v>263</v>
      </c>
      <c r="D6" t="s">
        <v>279</v>
      </c>
      <c r="E6" t="s">
        <v>279</v>
      </c>
      <c r="F6" t="s">
        <v>280</v>
      </c>
    </row>
    <row r="7" spans="1:6" x14ac:dyDescent="0.3">
      <c r="A7" t="s">
        <v>281</v>
      </c>
      <c r="B7" t="s">
        <v>262</v>
      </c>
      <c r="C7" t="s">
        <v>263</v>
      </c>
      <c r="D7" t="s">
        <v>282</v>
      </c>
      <c r="E7" t="s">
        <v>283</v>
      </c>
      <c r="F7" t="s">
        <v>284</v>
      </c>
    </row>
    <row r="8" spans="1:6" x14ac:dyDescent="0.3">
      <c r="A8" t="s">
        <v>285</v>
      </c>
      <c r="B8" t="s">
        <v>262</v>
      </c>
      <c r="C8" t="s">
        <v>263</v>
      </c>
      <c r="D8" t="s">
        <v>286</v>
      </c>
      <c r="E8" t="s">
        <v>268</v>
      </c>
      <c r="F8" t="s">
        <v>287</v>
      </c>
    </row>
    <row r="9" spans="1:6" x14ac:dyDescent="0.3">
      <c r="A9" t="s">
        <v>288</v>
      </c>
      <c r="B9" t="s">
        <v>289</v>
      </c>
      <c r="C9" t="s">
        <v>263</v>
      </c>
      <c r="D9" t="s">
        <v>268</v>
      </c>
      <c r="E9" t="s">
        <v>290</v>
      </c>
      <c r="F9" t="s">
        <v>291</v>
      </c>
    </row>
    <row r="10" spans="1:6" x14ac:dyDescent="0.3">
      <c r="A10" t="s">
        <v>292</v>
      </c>
      <c r="B10" t="s">
        <v>289</v>
      </c>
      <c r="C10" t="s">
        <v>263</v>
      </c>
      <c r="D10" t="s">
        <v>268</v>
      </c>
      <c r="E10" t="s">
        <v>293</v>
      </c>
      <c r="F10" t="s">
        <v>291</v>
      </c>
    </row>
    <row r="11" spans="1:6" x14ac:dyDescent="0.3">
      <c r="A11" t="s">
        <v>294</v>
      </c>
      <c r="B11" t="s">
        <v>289</v>
      </c>
      <c r="C11" t="s">
        <v>263</v>
      </c>
      <c r="D11" t="s">
        <v>268</v>
      </c>
      <c r="E11" t="s">
        <v>295</v>
      </c>
      <c r="F11" t="s">
        <v>291</v>
      </c>
    </row>
    <row r="12" spans="1:6" x14ac:dyDescent="0.3">
      <c r="A12" t="s">
        <v>296</v>
      </c>
      <c r="B12" t="s">
        <v>289</v>
      </c>
      <c r="C12" t="s">
        <v>263</v>
      </c>
      <c r="D12" t="s">
        <v>268</v>
      </c>
      <c r="E12" t="s">
        <v>297</v>
      </c>
      <c r="F12" t="s">
        <v>291</v>
      </c>
    </row>
    <row r="13" spans="1:6" x14ac:dyDescent="0.3">
      <c r="A13" t="s">
        <v>298</v>
      </c>
      <c r="B13" t="s">
        <v>289</v>
      </c>
      <c r="C13" t="s">
        <v>263</v>
      </c>
      <c r="D13" t="s">
        <v>268</v>
      </c>
      <c r="E13" t="s">
        <v>299</v>
      </c>
      <c r="F13" t="s">
        <v>291</v>
      </c>
    </row>
    <row r="14" spans="1:6" x14ac:dyDescent="0.3">
      <c r="A14" t="s">
        <v>300</v>
      </c>
      <c r="B14" t="s">
        <v>289</v>
      </c>
      <c r="C14" t="s">
        <v>263</v>
      </c>
      <c r="D14" t="s">
        <v>268</v>
      </c>
      <c r="E14" t="s">
        <v>301</v>
      </c>
      <c r="F14" t="s">
        <v>291</v>
      </c>
    </row>
    <row r="15" spans="1:6" x14ac:dyDescent="0.3">
      <c r="A15" t="s">
        <v>302</v>
      </c>
      <c r="B15" t="s">
        <v>289</v>
      </c>
      <c r="C15" t="s">
        <v>263</v>
      </c>
      <c r="D15" t="s">
        <v>268</v>
      </c>
      <c r="E15" t="s">
        <v>303</v>
      </c>
      <c r="F15" t="s">
        <v>291</v>
      </c>
    </row>
    <row r="16" spans="1:6" x14ac:dyDescent="0.3">
      <c r="A16" t="s">
        <v>304</v>
      </c>
      <c r="B16" t="s">
        <v>289</v>
      </c>
      <c r="C16" t="s">
        <v>263</v>
      </c>
      <c r="D16" t="s">
        <v>268</v>
      </c>
      <c r="E16" t="s">
        <v>305</v>
      </c>
      <c r="F16" t="s">
        <v>291</v>
      </c>
    </row>
    <row r="17" spans="1:6" x14ac:dyDescent="0.3">
      <c r="A17" t="s">
        <v>306</v>
      </c>
      <c r="B17" t="s">
        <v>289</v>
      </c>
      <c r="C17" t="s">
        <v>263</v>
      </c>
      <c r="D17" t="s">
        <v>268</v>
      </c>
      <c r="E17" t="s">
        <v>307</v>
      </c>
      <c r="F17" t="s">
        <v>291</v>
      </c>
    </row>
    <row r="18" spans="1:6" x14ac:dyDescent="0.3">
      <c r="A18" t="s">
        <v>308</v>
      </c>
      <c r="B18" t="s">
        <v>289</v>
      </c>
      <c r="C18" t="s">
        <v>309</v>
      </c>
      <c r="D18" t="s">
        <v>310</v>
      </c>
      <c r="E18" t="s">
        <v>268</v>
      </c>
      <c r="F18" t="s">
        <v>311</v>
      </c>
    </row>
    <row r="19" spans="1:6" x14ac:dyDescent="0.3">
      <c r="A19" t="s">
        <v>312</v>
      </c>
      <c r="B19" t="s">
        <v>289</v>
      </c>
      <c r="C19" t="s">
        <v>309</v>
      </c>
      <c r="D19" t="s">
        <v>313</v>
      </c>
      <c r="E19" t="s">
        <v>268</v>
      </c>
      <c r="F19" t="s">
        <v>311</v>
      </c>
    </row>
    <row r="20" spans="1:6" x14ac:dyDescent="0.3">
      <c r="A20" t="s">
        <v>314</v>
      </c>
      <c r="B20" t="s">
        <v>289</v>
      </c>
      <c r="C20" t="s">
        <v>309</v>
      </c>
      <c r="D20" t="s">
        <v>315</v>
      </c>
      <c r="E20" t="s">
        <v>268</v>
      </c>
      <c r="F20" t="s">
        <v>311</v>
      </c>
    </row>
    <row r="21" spans="1:6" x14ac:dyDescent="0.3">
      <c r="A21" t="s">
        <v>316</v>
      </c>
      <c r="B21" t="s">
        <v>317</v>
      </c>
      <c r="C21" t="s">
        <v>309</v>
      </c>
      <c r="D21" t="s">
        <v>318</v>
      </c>
      <c r="E21" t="s">
        <v>268</v>
      </c>
      <c r="F21" t="s">
        <v>319</v>
      </c>
    </row>
    <row r="22" spans="1:6" x14ac:dyDescent="0.3">
      <c r="A22" t="s">
        <v>320</v>
      </c>
      <c r="B22" t="s">
        <v>317</v>
      </c>
      <c r="C22" t="s">
        <v>309</v>
      </c>
      <c r="D22" t="s">
        <v>268</v>
      </c>
      <c r="E22" t="s">
        <v>321</v>
      </c>
      <c r="F22" t="s">
        <v>322</v>
      </c>
    </row>
    <row r="23" spans="1:6" x14ac:dyDescent="0.3">
      <c r="A23" t="s">
        <v>323</v>
      </c>
      <c r="B23" t="s">
        <v>317</v>
      </c>
      <c r="C23" t="s">
        <v>309</v>
      </c>
      <c r="D23" t="s">
        <v>324</v>
      </c>
      <c r="E23" t="s">
        <v>268</v>
      </c>
      <c r="F23" t="s">
        <v>325</v>
      </c>
    </row>
    <row r="24" spans="1:6" x14ac:dyDescent="0.3">
      <c r="A24" t="s">
        <v>326</v>
      </c>
      <c r="B24" t="s">
        <v>317</v>
      </c>
      <c r="C24" t="s">
        <v>309</v>
      </c>
      <c r="D24" t="s">
        <v>268</v>
      </c>
      <c r="E24" t="s">
        <v>327</v>
      </c>
      <c r="F24" t="s">
        <v>322</v>
      </c>
    </row>
    <row r="25" spans="1:6" x14ac:dyDescent="0.3">
      <c r="A25" t="s">
        <v>328</v>
      </c>
      <c r="B25" t="s">
        <v>317</v>
      </c>
      <c r="C25" t="s">
        <v>309</v>
      </c>
      <c r="D25" t="s">
        <v>329</v>
      </c>
      <c r="E25" t="s">
        <v>268</v>
      </c>
      <c r="F25" t="s">
        <v>325</v>
      </c>
    </row>
    <row r="26" spans="1:6" x14ac:dyDescent="0.3">
      <c r="A26" t="s">
        <v>330</v>
      </c>
      <c r="B26" t="s">
        <v>317</v>
      </c>
      <c r="C26" t="s">
        <v>309</v>
      </c>
      <c r="D26" t="s">
        <v>268</v>
      </c>
      <c r="E26" t="s">
        <v>331</v>
      </c>
      <c r="F26" t="s">
        <v>322</v>
      </c>
    </row>
    <row r="27" spans="1:6" x14ac:dyDescent="0.3">
      <c r="A27" t="s">
        <v>332</v>
      </c>
      <c r="B27" t="s">
        <v>333</v>
      </c>
      <c r="C27" t="s">
        <v>309</v>
      </c>
      <c r="D27" t="s">
        <v>334</v>
      </c>
      <c r="E27" t="s">
        <v>268</v>
      </c>
      <c r="F27" t="s">
        <v>335</v>
      </c>
    </row>
    <row r="28" spans="1:6" x14ac:dyDescent="0.3">
      <c r="A28" t="s">
        <v>336</v>
      </c>
      <c r="B28" t="s">
        <v>333</v>
      </c>
      <c r="C28" t="s">
        <v>309</v>
      </c>
      <c r="D28" t="s">
        <v>337</v>
      </c>
      <c r="E28" t="s">
        <v>268</v>
      </c>
      <c r="F28" t="s">
        <v>338</v>
      </c>
    </row>
    <row r="29" spans="1:6" x14ac:dyDescent="0.3">
      <c r="A29" t="s">
        <v>339</v>
      </c>
      <c r="B29" t="s">
        <v>333</v>
      </c>
      <c r="C29" t="s">
        <v>309</v>
      </c>
      <c r="D29" t="s">
        <v>268</v>
      </c>
      <c r="E29" t="s">
        <v>340</v>
      </c>
      <c r="F29" t="s">
        <v>341</v>
      </c>
    </row>
    <row r="30" spans="1:6" x14ac:dyDescent="0.3">
      <c r="A30" t="s">
        <v>342</v>
      </c>
      <c r="B30" t="s">
        <v>333</v>
      </c>
      <c r="C30" t="s">
        <v>309</v>
      </c>
      <c r="D30" t="s">
        <v>343</v>
      </c>
      <c r="E30" t="s">
        <v>268</v>
      </c>
      <c r="F30" t="s">
        <v>335</v>
      </c>
    </row>
    <row r="31" spans="1:6" x14ac:dyDescent="0.3">
      <c r="A31" t="s">
        <v>344</v>
      </c>
      <c r="B31" t="s">
        <v>333</v>
      </c>
      <c r="C31" t="s">
        <v>309</v>
      </c>
      <c r="D31" t="s">
        <v>345</v>
      </c>
      <c r="E31" t="s">
        <v>268</v>
      </c>
      <c r="F31" t="s">
        <v>338</v>
      </c>
    </row>
    <row r="32" spans="1:6" x14ac:dyDescent="0.3">
      <c r="A32" t="s">
        <v>346</v>
      </c>
      <c r="B32" t="s">
        <v>333</v>
      </c>
      <c r="C32" t="s">
        <v>309</v>
      </c>
      <c r="D32" t="s">
        <v>268</v>
      </c>
      <c r="E32" t="s">
        <v>347</v>
      </c>
      <c r="F32" t="s">
        <v>341</v>
      </c>
    </row>
    <row r="33" spans="1:6" x14ac:dyDescent="0.3">
      <c r="A33" t="s">
        <v>348</v>
      </c>
      <c r="B33" t="s">
        <v>333</v>
      </c>
      <c r="C33" t="s">
        <v>309</v>
      </c>
      <c r="D33" t="s">
        <v>349</v>
      </c>
      <c r="E33" t="s">
        <v>268</v>
      </c>
      <c r="F33" t="s">
        <v>350</v>
      </c>
    </row>
    <row r="34" spans="1:6" x14ac:dyDescent="0.3">
      <c r="A34" t="s">
        <v>351</v>
      </c>
      <c r="B34" t="s">
        <v>333</v>
      </c>
      <c r="C34" t="s">
        <v>309</v>
      </c>
      <c r="D34" t="s">
        <v>352</v>
      </c>
      <c r="E34" t="s">
        <v>268</v>
      </c>
      <c r="F34" t="s">
        <v>353</v>
      </c>
    </row>
    <row r="35" spans="1:6" x14ac:dyDescent="0.3">
      <c r="A35" t="s">
        <v>354</v>
      </c>
      <c r="B35" t="s">
        <v>333</v>
      </c>
      <c r="C35" t="s">
        <v>309</v>
      </c>
      <c r="D35" t="s">
        <v>268</v>
      </c>
      <c r="E35" t="s">
        <v>355</v>
      </c>
      <c r="F35" t="s">
        <v>341</v>
      </c>
    </row>
    <row r="36" spans="1:6" x14ac:dyDescent="0.3">
      <c r="A36" t="s">
        <v>356</v>
      </c>
      <c r="B36" t="s">
        <v>333</v>
      </c>
      <c r="C36" t="s">
        <v>309</v>
      </c>
      <c r="D36" t="s">
        <v>357</v>
      </c>
      <c r="E36" t="s">
        <v>268</v>
      </c>
      <c r="F36" t="s">
        <v>335</v>
      </c>
    </row>
    <row r="37" spans="1:6" x14ac:dyDescent="0.3">
      <c r="A37" t="s">
        <v>358</v>
      </c>
      <c r="B37" t="s">
        <v>333</v>
      </c>
      <c r="C37" t="s">
        <v>309</v>
      </c>
      <c r="D37" t="s">
        <v>359</v>
      </c>
      <c r="E37" t="s">
        <v>268</v>
      </c>
      <c r="F37" t="s">
        <v>338</v>
      </c>
    </row>
    <row r="38" spans="1:6" x14ac:dyDescent="0.3">
      <c r="A38" t="s">
        <v>360</v>
      </c>
      <c r="B38" t="s">
        <v>333</v>
      </c>
      <c r="C38" t="s">
        <v>309</v>
      </c>
      <c r="D38" t="s">
        <v>268</v>
      </c>
      <c r="E38" t="s">
        <v>361</v>
      </c>
      <c r="F38" t="s">
        <v>341</v>
      </c>
    </row>
    <row r="39" spans="1:6" x14ac:dyDescent="0.3">
      <c r="A39" t="s">
        <v>362</v>
      </c>
      <c r="B39" t="s">
        <v>363</v>
      </c>
      <c r="C39" t="s">
        <v>263</v>
      </c>
      <c r="D39" t="s">
        <v>364</v>
      </c>
      <c r="E39" t="s">
        <v>365</v>
      </c>
      <c r="F39" t="s">
        <v>366</v>
      </c>
    </row>
    <row r="40" spans="1:6" x14ac:dyDescent="0.3">
      <c r="A40" t="s">
        <v>367</v>
      </c>
      <c r="B40" t="s">
        <v>363</v>
      </c>
      <c r="C40" t="s">
        <v>309</v>
      </c>
      <c r="D40" t="s">
        <v>368</v>
      </c>
      <c r="E40" t="s">
        <v>268</v>
      </c>
      <c r="F40" t="s">
        <v>369</v>
      </c>
    </row>
    <row r="41" spans="1:6" x14ac:dyDescent="0.3">
      <c r="A41" t="s">
        <v>370</v>
      </c>
      <c r="B41" t="s">
        <v>371</v>
      </c>
      <c r="C41" t="s">
        <v>263</v>
      </c>
      <c r="D41" t="s">
        <v>372</v>
      </c>
      <c r="E41" t="s">
        <v>272</v>
      </c>
      <c r="F41" t="s">
        <v>280</v>
      </c>
    </row>
    <row r="42" spans="1:6" x14ac:dyDescent="0.3">
      <c r="A42" t="s">
        <v>373</v>
      </c>
      <c r="B42" t="s">
        <v>371</v>
      </c>
      <c r="C42" t="s">
        <v>263</v>
      </c>
      <c r="D42" t="s">
        <v>374</v>
      </c>
      <c r="E42" t="s">
        <v>268</v>
      </c>
      <c r="F42" t="s">
        <v>375</v>
      </c>
    </row>
    <row r="43" spans="1:6" x14ac:dyDescent="0.3">
      <c r="A43" t="s">
        <v>376</v>
      </c>
      <c r="B43" t="s">
        <v>371</v>
      </c>
      <c r="C43" t="s">
        <v>263</v>
      </c>
      <c r="D43" t="s">
        <v>377</v>
      </c>
      <c r="E43" t="s">
        <v>378</v>
      </c>
      <c r="F43" t="s">
        <v>280</v>
      </c>
    </row>
    <row r="44" spans="1:6" x14ac:dyDescent="0.3">
      <c r="A44" t="s">
        <v>379</v>
      </c>
      <c r="B44" t="s">
        <v>371</v>
      </c>
      <c r="C44" t="s">
        <v>380</v>
      </c>
      <c r="D44" t="s">
        <v>381</v>
      </c>
      <c r="E44" t="s">
        <v>276</v>
      </c>
      <c r="F44" t="s">
        <v>382</v>
      </c>
    </row>
    <row r="45" spans="1:6" x14ac:dyDescent="0.3">
      <c r="A45" t="s">
        <v>383</v>
      </c>
      <c r="B45" t="s">
        <v>371</v>
      </c>
      <c r="C45" t="s">
        <v>263</v>
      </c>
      <c r="D45" t="s">
        <v>384</v>
      </c>
      <c r="E45" t="s">
        <v>268</v>
      </c>
      <c r="F45" t="s">
        <v>375</v>
      </c>
    </row>
    <row r="46" spans="1:6" x14ac:dyDescent="0.3">
      <c r="A46" t="s">
        <v>385</v>
      </c>
      <c r="B46" t="s">
        <v>371</v>
      </c>
      <c r="C46" t="s">
        <v>263</v>
      </c>
      <c r="D46" t="s">
        <v>386</v>
      </c>
      <c r="E46" t="s">
        <v>268</v>
      </c>
      <c r="F46" t="s">
        <v>387</v>
      </c>
    </row>
    <row r="47" spans="1:6" x14ac:dyDescent="0.3">
      <c r="A47" t="s">
        <v>388</v>
      </c>
      <c r="B47" t="s">
        <v>389</v>
      </c>
      <c r="C47" t="s">
        <v>309</v>
      </c>
      <c r="D47" t="s">
        <v>268</v>
      </c>
      <c r="E47" t="s">
        <v>390</v>
      </c>
      <c r="F47" t="s">
        <v>391</v>
      </c>
    </row>
    <row r="48" spans="1:6" x14ac:dyDescent="0.3">
      <c r="A48" t="s">
        <v>392</v>
      </c>
      <c r="B48" t="s">
        <v>389</v>
      </c>
      <c r="C48" t="s">
        <v>309</v>
      </c>
      <c r="D48" t="s">
        <v>268</v>
      </c>
      <c r="E48" t="s">
        <v>393</v>
      </c>
      <c r="F48" t="s">
        <v>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5D87-7EEE-459C-A40C-913FEAD7774E}">
  <dimension ref="A1:F14"/>
  <sheetViews>
    <sheetView workbookViewId="0">
      <selection sqref="A1:F1"/>
    </sheetView>
  </sheetViews>
  <sheetFormatPr defaultRowHeight="14.4" x14ac:dyDescent="0.3"/>
  <cols>
    <col min="1" max="6" width="18.77734375" customWidth="1"/>
  </cols>
  <sheetData>
    <row r="1" spans="1:6" ht="21" x14ac:dyDescent="0.4">
      <c r="A1" s="104" t="s">
        <v>171</v>
      </c>
      <c r="B1" s="105"/>
      <c r="C1" s="105"/>
      <c r="D1" s="105"/>
      <c r="E1" s="105"/>
      <c r="F1" s="105"/>
    </row>
    <row r="3" spans="1:6" ht="24" customHeight="1" x14ac:dyDescent="0.3">
      <c r="A3" s="106" t="s">
        <v>172</v>
      </c>
      <c r="B3" s="106"/>
      <c r="C3" s="106"/>
      <c r="D3" s="106"/>
      <c r="E3" s="106"/>
      <c r="F3" s="106"/>
    </row>
    <row r="4" spans="1:6" ht="24" customHeight="1" x14ac:dyDescent="0.3">
      <c r="A4" s="106"/>
      <c r="B4" s="106"/>
      <c r="C4" s="106"/>
      <c r="D4" s="106"/>
      <c r="E4" s="106"/>
      <c r="F4" s="106"/>
    </row>
    <row r="5" spans="1:6" ht="24" customHeight="1" x14ac:dyDescent="0.3">
      <c r="A5" s="106"/>
      <c r="B5" s="106"/>
      <c r="C5" s="106"/>
      <c r="D5" s="106"/>
      <c r="E5" s="106"/>
      <c r="F5" s="106"/>
    </row>
    <row r="6" spans="1:6" ht="24" customHeight="1" x14ac:dyDescent="0.3">
      <c r="A6" s="106"/>
      <c r="B6" s="106"/>
      <c r="C6" s="106"/>
      <c r="D6" s="106"/>
      <c r="E6" s="106"/>
      <c r="F6" s="106"/>
    </row>
    <row r="7" spans="1:6" ht="24" customHeight="1" x14ac:dyDescent="0.3">
      <c r="A7" s="106"/>
      <c r="B7" s="106"/>
      <c r="C7" s="106"/>
      <c r="D7" s="106"/>
      <c r="E7" s="106"/>
      <c r="F7" s="106"/>
    </row>
    <row r="8" spans="1:6" ht="24" customHeight="1" x14ac:dyDescent="0.3">
      <c r="A8" s="106"/>
      <c r="B8" s="106"/>
      <c r="C8" s="106"/>
      <c r="D8" s="106"/>
      <c r="E8" s="106"/>
      <c r="F8" s="106"/>
    </row>
    <row r="9" spans="1:6" ht="24" customHeight="1" x14ac:dyDescent="0.3">
      <c r="A9" s="106"/>
      <c r="B9" s="106"/>
      <c r="C9" s="106"/>
      <c r="D9" s="106"/>
      <c r="E9" s="106"/>
      <c r="F9" s="106"/>
    </row>
    <row r="10" spans="1:6" ht="24" customHeight="1" x14ac:dyDescent="0.3">
      <c r="A10" s="106"/>
      <c r="B10" s="106"/>
      <c r="C10" s="106"/>
      <c r="D10" s="106"/>
      <c r="E10" s="106"/>
      <c r="F10" s="106"/>
    </row>
    <row r="11" spans="1:6" ht="24" customHeight="1" x14ac:dyDescent="0.3">
      <c r="A11" s="106"/>
      <c r="B11" s="106"/>
      <c r="C11" s="106"/>
      <c r="D11" s="106"/>
      <c r="E11" s="106"/>
      <c r="F11" s="106"/>
    </row>
    <row r="12" spans="1:6" ht="24" customHeight="1" x14ac:dyDescent="0.3">
      <c r="A12" s="106"/>
      <c r="B12" s="106"/>
      <c r="C12" s="106"/>
      <c r="D12" s="106"/>
      <c r="E12" s="106"/>
      <c r="F12" s="106"/>
    </row>
    <row r="13" spans="1:6" ht="24" customHeight="1" x14ac:dyDescent="0.3">
      <c r="A13" s="106"/>
      <c r="B13" s="106"/>
      <c r="C13" s="106"/>
      <c r="D13" s="106"/>
      <c r="E13" s="106"/>
      <c r="F13" s="106"/>
    </row>
    <row r="14" spans="1:6" ht="24" customHeight="1" x14ac:dyDescent="0.3">
      <c r="A14" s="106"/>
      <c r="B14" s="106"/>
      <c r="C14" s="106"/>
      <c r="D14" s="106"/>
      <c r="E14" s="106"/>
      <c r="F14" s="106"/>
    </row>
  </sheetData>
  <mergeCells count="2">
    <mergeCell ref="A1:F1"/>
    <mergeCell ref="A3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zoomScaleNormal="100" workbookViewId="0"/>
  </sheetViews>
  <sheetFormatPr defaultColWidth="8.6640625" defaultRowHeight="15" customHeight="1" x14ac:dyDescent="0.3"/>
  <cols>
    <col min="1" max="1" width="30" customWidth="1"/>
    <col min="2" max="3" width="52" customWidth="1"/>
    <col min="4" max="8" width="14" customWidth="1"/>
  </cols>
  <sheetData>
    <row r="1" spans="1:3" ht="15.6" x14ac:dyDescent="0.3">
      <c r="A1" s="8" t="s">
        <v>0</v>
      </c>
    </row>
    <row r="2" spans="1:3" ht="14.4" x14ac:dyDescent="0.3">
      <c r="A2" s="9" t="s">
        <v>1</v>
      </c>
      <c r="B2" s="10"/>
      <c r="C2" s="10"/>
    </row>
    <row r="3" spans="1:3" ht="14.4" x14ac:dyDescent="0.3">
      <c r="A3" s="11" t="s">
        <v>2</v>
      </c>
      <c r="B3" s="12" t="s">
        <v>3</v>
      </c>
    </row>
    <row r="4" spans="1:3" ht="69" x14ac:dyDescent="0.3">
      <c r="A4" s="11" t="s">
        <v>4</v>
      </c>
      <c r="B4" s="12" t="s">
        <v>5</v>
      </c>
    </row>
    <row r="5" spans="1:3" ht="14.4" x14ac:dyDescent="0.3">
      <c r="A5" s="11" t="s">
        <v>6</v>
      </c>
      <c r="B5" s="12" t="s">
        <v>7</v>
      </c>
    </row>
    <row r="6" spans="1:3" ht="14.4" x14ac:dyDescent="0.3">
      <c r="A6" s="11" t="s">
        <v>8</v>
      </c>
      <c r="B6" s="12" t="s">
        <v>9</v>
      </c>
    </row>
    <row r="7" spans="1:3" ht="14.4" x14ac:dyDescent="0.3">
      <c r="A7" s="11" t="s">
        <v>10</v>
      </c>
      <c r="B7" s="12" t="s">
        <v>11</v>
      </c>
    </row>
    <row r="8" spans="1:3" ht="14.4" x14ac:dyDescent="0.3">
      <c r="A8" s="11" t="s">
        <v>12</v>
      </c>
      <c r="B8" s="12" t="s">
        <v>13</v>
      </c>
    </row>
    <row r="9" spans="1:3" ht="14.4" x14ac:dyDescent="0.3">
      <c r="A9" s="11" t="s">
        <v>14</v>
      </c>
      <c r="B9" s="12" t="s">
        <v>15</v>
      </c>
    </row>
    <row r="10" spans="1:3" ht="14.4" x14ac:dyDescent="0.3">
      <c r="A10" s="11" t="s">
        <v>16</v>
      </c>
      <c r="B10" s="12" t="s">
        <v>17</v>
      </c>
    </row>
    <row r="11" spans="1:3" ht="14.4" x14ac:dyDescent="0.3">
      <c r="A11" s="11" t="s">
        <v>18</v>
      </c>
      <c r="B11" s="12" t="s">
        <v>15</v>
      </c>
    </row>
    <row r="13" spans="1:3" ht="14.4" x14ac:dyDescent="0.3">
      <c r="A13" s="9" t="s">
        <v>19</v>
      </c>
      <c r="B13" s="10"/>
      <c r="C13" s="10"/>
    </row>
    <row r="14" spans="1:3" ht="14.4" x14ac:dyDescent="0.3">
      <c r="A14" s="11" t="s">
        <v>20</v>
      </c>
      <c r="B14" s="12" t="s">
        <v>21</v>
      </c>
    </row>
    <row r="15" spans="1:3" ht="14.4" x14ac:dyDescent="0.3">
      <c r="A15" s="11" t="s">
        <v>22</v>
      </c>
      <c r="B15" s="12" t="s">
        <v>17</v>
      </c>
    </row>
    <row r="16" spans="1:3" ht="14.4" x14ac:dyDescent="0.3">
      <c r="A16" s="11" t="s">
        <v>23</v>
      </c>
      <c r="B16" s="12" t="s">
        <v>24</v>
      </c>
    </row>
    <row r="18" spans="1:8" ht="14.4" x14ac:dyDescent="0.3">
      <c r="A18" s="9" t="s">
        <v>25</v>
      </c>
      <c r="B18" s="10"/>
      <c r="C18" s="10"/>
    </row>
    <row r="19" spans="1:8" ht="14.4" x14ac:dyDescent="0.3">
      <c r="A19" s="13" t="s">
        <v>26</v>
      </c>
      <c r="B19" s="13" t="s">
        <v>27</v>
      </c>
      <c r="C19" s="13" t="s">
        <v>28</v>
      </c>
    </row>
    <row r="20" spans="1:8" ht="27.6" x14ac:dyDescent="0.3">
      <c r="A20" s="14" t="s">
        <v>29</v>
      </c>
      <c r="B20" s="12" t="s">
        <v>30</v>
      </c>
      <c r="C20" s="12" t="s">
        <v>31</v>
      </c>
    </row>
    <row r="21" spans="1:8" ht="27.6" x14ac:dyDescent="0.3">
      <c r="A21" s="14" t="s">
        <v>32</v>
      </c>
      <c r="B21" s="12" t="s">
        <v>33</v>
      </c>
      <c r="C21" s="12" t="s">
        <v>34</v>
      </c>
    </row>
    <row r="22" spans="1:8" ht="27.6" x14ac:dyDescent="0.3">
      <c r="A22" s="14" t="s">
        <v>35</v>
      </c>
      <c r="B22" s="15" t="s">
        <v>36</v>
      </c>
      <c r="C22" s="15" t="s">
        <v>37</v>
      </c>
    </row>
    <row r="23" spans="1:8" ht="14.4" x14ac:dyDescent="0.3">
      <c r="A23" s="14" t="s">
        <v>38</v>
      </c>
      <c r="B23" s="12" t="s">
        <v>39</v>
      </c>
      <c r="C23" s="15" t="s">
        <v>36</v>
      </c>
    </row>
    <row r="24" spans="1:8" ht="14.4" x14ac:dyDescent="0.3">
      <c r="A24" s="16" t="s">
        <v>40</v>
      </c>
    </row>
    <row r="25" spans="1:8" ht="14.4" x14ac:dyDescent="0.3">
      <c r="A25" s="9" t="s">
        <v>41</v>
      </c>
      <c r="B25" s="10"/>
      <c r="C25" s="10"/>
    </row>
    <row r="26" spans="1:8" ht="27.6" x14ac:dyDescent="0.3">
      <c r="A26" s="11" t="s">
        <v>42</v>
      </c>
      <c r="B26" s="12" t="s">
        <v>43</v>
      </c>
    </row>
    <row r="27" spans="1:8" ht="14.4" x14ac:dyDescent="0.3">
      <c r="A27" s="11" t="s">
        <v>44</v>
      </c>
      <c r="B27" s="12" t="s">
        <v>45</v>
      </c>
    </row>
    <row r="29" spans="1:8" ht="14.4" x14ac:dyDescent="0.3">
      <c r="A29" s="9" t="s">
        <v>46</v>
      </c>
      <c r="B29" s="10"/>
      <c r="C29" s="10"/>
    </row>
    <row r="30" spans="1:8" ht="14.4" x14ac:dyDescent="0.3">
      <c r="A30" s="13" t="s">
        <v>47</v>
      </c>
      <c r="B30" s="13" t="s">
        <v>48</v>
      </c>
      <c r="C30" s="13" t="s">
        <v>49</v>
      </c>
      <c r="D30" s="13" t="s">
        <v>50</v>
      </c>
      <c r="E30" s="13" t="s">
        <v>51</v>
      </c>
      <c r="F30" s="13" t="s">
        <v>52</v>
      </c>
      <c r="G30" s="13" t="s">
        <v>53</v>
      </c>
      <c r="H30" s="13" t="s">
        <v>54</v>
      </c>
    </row>
    <row r="31" spans="1:8" ht="14.4" x14ac:dyDescent="0.3">
      <c r="A31" s="17" t="s">
        <v>9</v>
      </c>
      <c r="B31" s="18">
        <v>40.81</v>
      </c>
      <c r="C31" s="18">
        <v>42.96</v>
      </c>
      <c r="D31" s="18">
        <v>2</v>
      </c>
      <c r="E31" s="17">
        <f>C31*D31</f>
        <v>85.92</v>
      </c>
      <c r="F31" s="18">
        <v>300</v>
      </c>
      <c r="G31" s="17" t="s">
        <v>55</v>
      </c>
      <c r="H31" s="17">
        <f>E31/13</f>
        <v>6.609230769230769</v>
      </c>
    </row>
    <row r="32" spans="1:8" ht="14.4" x14ac:dyDescent="0.3">
      <c r="A32" s="16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8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88671875" customWidth="1"/>
    <col min="6" max="6" width="8.5546875" customWidth="1"/>
    <col min="7" max="7" width="9.21875" customWidth="1"/>
    <col min="9" max="9" width="7.5546875" customWidth="1"/>
    <col min="10" max="10" width="10.2187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58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0.25" customHeight="1" x14ac:dyDescent="0.3"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107"/>
      <c r="K3" s="107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5.75" customHeight="1" x14ac:dyDescent="0.3">
      <c r="A7" s="111" t="s">
        <v>62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 x14ac:dyDescent="0.3">
      <c r="A11" s="112" t="s">
        <v>64</v>
      </c>
      <c r="B11" s="112"/>
      <c r="C11" s="112"/>
      <c r="D11" s="112"/>
      <c r="E11" s="112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109" t="s">
        <v>65</v>
      </c>
      <c r="B13" s="109"/>
      <c r="C13" s="109"/>
      <c r="D13" s="109"/>
      <c r="E13" s="109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7" t="s">
        <v>66</v>
      </c>
      <c r="B14" s="5"/>
      <c r="C14" s="27"/>
      <c r="D14" s="5"/>
      <c r="E14" s="29"/>
      <c r="F14" s="29"/>
      <c r="G14" s="29"/>
      <c r="H14" s="29"/>
      <c r="I14" s="29"/>
      <c r="J14" s="113" t="str">
        <f>'02 Acts - Data'!B6</f>
        <v>ГНБ № 10-1С</v>
      </c>
      <c r="K14" s="113"/>
      <c r="L14" s="113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7" t="s">
        <v>67</v>
      </c>
      <c r="D15" s="3" t="str">
        <f>'02 Acts - Data'!B5</f>
        <v>По адресу: г. Москва, ул. Кантемировская, д.60</v>
      </c>
      <c r="E15" s="30"/>
      <c r="F15" s="30"/>
      <c r="G15" s="31"/>
      <c r="H15" s="31"/>
      <c r="I15" s="31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32" t="s">
        <v>68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3" t="s">
        <v>69</v>
      </c>
      <c r="B18" s="5"/>
      <c r="C18" s="27"/>
      <c r="D18" s="5"/>
      <c r="E18" s="5"/>
      <c r="F18" s="5"/>
      <c r="G18" s="5"/>
      <c r="H18" s="5"/>
      <c r="I18" s="5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3" t="s">
        <v>70</v>
      </c>
      <c r="B19" s="5"/>
      <c r="C19" s="27"/>
      <c r="D19" s="5"/>
      <c r="E19" s="5"/>
      <c r="F19" s="5"/>
      <c r="G19" s="5"/>
      <c r="H19" s="5"/>
      <c r="I19" s="5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/>
      <c r="B20" s="5"/>
      <c r="C20" s="27"/>
      <c r="D20" s="5"/>
      <c r="E20" s="5"/>
      <c r="F20" s="5"/>
      <c r="G20" s="5"/>
      <c r="H20" s="5"/>
      <c r="I20" s="5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3" t="s">
        <v>71</v>
      </c>
      <c r="B21" s="5"/>
      <c r="C21" s="27"/>
      <c r="D21" s="5"/>
      <c r="E21" s="5"/>
      <c r="F21" s="113" t="str">
        <f>'02 Acts - Data'!B6</f>
        <v>ГНБ № 10-1С</v>
      </c>
      <c r="G21" s="113"/>
      <c r="H21" s="113"/>
      <c r="I21" s="7" t="s">
        <v>72</v>
      </c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33" t="s">
        <v>73</v>
      </c>
      <c r="B22" s="5"/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3"/>
      <c r="B23" s="5"/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/>
    <row r="25" spans="1:26" ht="15.75" customHeight="1" x14ac:dyDescent="0.3"/>
    <row r="26" spans="1:26" ht="15.75" customHeight="1" x14ac:dyDescent="0.3">
      <c r="A26" s="7"/>
      <c r="C26" s="7"/>
      <c r="D26" s="7"/>
      <c r="E26" s="7"/>
      <c r="F26" s="7"/>
      <c r="G26" s="7"/>
      <c r="H26" s="7"/>
      <c r="I26" s="7"/>
    </row>
    <row r="27" spans="1:26" ht="15.75" customHeight="1" x14ac:dyDescent="0.3">
      <c r="A27" s="7"/>
      <c r="C27" s="7"/>
      <c r="D27" s="7"/>
      <c r="E27" s="7"/>
      <c r="F27" s="7"/>
      <c r="G27" s="7"/>
      <c r="H27" s="7"/>
      <c r="I27" s="7"/>
    </row>
    <row r="28" spans="1:26" ht="15.75" customHeight="1" x14ac:dyDescent="0.3">
      <c r="A28" s="7" t="str">
        <f>'02 Acts - Data'!C21</f>
        <v>Начальник участка ООО «Резонанс-Энерго» ______________________Борков Е.А</v>
      </c>
      <c r="C28" s="7"/>
      <c r="D28" s="7"/>
      <c r="E28" s="7"/>
      <c r="F28" s="7"/>
      <c r="G28" s="7"/>
      <c r="H28" s="7"/>
      <c r="I28" s="7"/>
    </row>
    <row r="29" spans="1:26" ht="15.75" customHeight="1" x14ac:dyDescent="0.3">
      <c r="A29" s="7"/>
      <c r="C29" s="7"/>
      <c r="D29" s="7"/>
      <c r="E29" s="7"/>
      <c r="F29" s="7"/>
      <c r="G29" s="7"/>
      <c r="H29" s="7"/>
      <c r="I29" s="7"/>
    </row>
    <row r="30" spans="1:26" ht="15.75" customHeight="1" x14ac:dyDescent="0.3">
      <c r="A30" s="7"/>
      <c r="C30" s="7"/>
      <c r="D30" s="7"/>
      <c r="E30" s="7"/>
      <c r="F30" s="7"/>
      <c r="G30" s="7"/>
      <c r="H30" s="7"/>
      <c r="I30" s="7"/>
    </row>
    <row r="31" spans="1:26" ht="15.75" customHeight="1" x14ac:dyDescent="0.3">
      <c r="A31" s="7" t="str">
        <f>'02 Acts - Data'!C22</f>
        <v>Инженер-геодезист ООО «Резонанс-Энерго» ______________________Минаков Н.А.</v>
      </c>
      <c r="C31" s="7"/>
      <c r="D31" s="7"/>
      <c r="E31" s="7"/>
      <c r="F31" s="7"/>
      <c r="G31" s="7"/>
      <c r="H31" s="7"/>
      <c r="I31" s="7"/>
    </row>
    <row r="32" spans="1:26" ht="15.75" customHeight="1" x14ac:dyDescent="0.3">
      <c r="A32" s="7"/>
      <c r="C32" s="7"/>
      <c r="D32" s="7"/>
      <c r="E32" s="7"/>
      <c r="F32" s="7"/>
      <c r="G32" s="7"/>
      <c r="H32" s="7"/>
      <c r="I32" s="7"/>
    </row>
    <row r="33" spans="1:8" ht="15.75" customHeight="1" x14ac:dyDescent="0.3">
      <c r="A33" s="109" t="s">
        <v>74</v>
      </c>
      <c r="B33" s="109"/>
      <c r="C33" s="109"/>
      <c r="D33" s="109"/>
      <c r="E33" s="109"/>
      <c r="F33" s="109"/>
      <c r="G33" s="109"/>
      <c r="H33" s="109"/>
    </row>
    <row r="34" spans="1:8" ht="15.75" customHeight="1" x14ac:dyDescent="0.3"/>
    <row r="35" spans="1:8" ht="15.75" customHeight="1" x14ac:dyDescent="0.3"/>
    <row r="36" spans="1:8" ht="15.75" customHeight="1" x14ac:dyDescent="0.3"/>
    <row r="37" spans="1:8" ht="15.75" customHeight="1" x14ac:dyDescent="0.3"/>
    <row r="38" spans="1:8" ht="15.75" customHeight="1" x14ac:dyDescent="0.3"/>
    <row r="39" spans="1:8" ht="15.75" customHeight="1" x14ac:dyDescent="0.3"/>
    <row r="40" spans="1:8" ht="15.75" customHeight="1" x14ac:dyDescent="0.3"/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</sheetData>
  <mergeCells count="11">
    <mergeCell ref="A33:H33"/>
    <mergeCell ref="A7:K7"/>
    <mergeCell ref="A11:E11"/>
    <mergeCell ref="A13:E13"/>
    <mergeCell ref="J14:L14"/>
    <mergeCell ref="F21:H21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1.75" customHeight="1" x14ac:dyDescent="0.3"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107"/>
      <c r="K3" s="107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3.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3.5" customHeight="1" x14ac:dyDescent="0.3">
      <c r="A7" s="111" t="s">
        <v>76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8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4.25" customHeight="1" x14ac:dyDescent="0.3">
      <c r="A17" s="7" t="s">
        <v>80</v>
      </c>
      <c r="B17" s="5"/>
      <c r="C17" s="27"/>
      <c r="D17" s="29"/>
      <c r="E17" s="29"/>
      <c r="F17" s="113" t="str">
        <f>'02 Acts - Data'!B6</f>
        <v>ГНБ № 10-1С</v>
      </c>
      <c r="G17" s="113"/>
      <c r="H17" s="113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4.25" customHeight="1" x14ac:dyDescent="0.3">
      <c r="A20" s="7" t="s">
        <v>83</v>
      </c>
      <c r="B20" s="7"/>
      <c r="C20" s="27"/>
      <c r="D20" s="113" t="str">
        <f>'02 Acts - Data'!B16</f>
        <v>АО "МОСИНЖПРОЕКТ"</v>
      </c>
      <c r="E20" s="113"/>
      <c r="F20" s="113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.2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.25" customHeight="1" x14ac:dyDescent="0.3">
      <c r="A22" s="7" t="s">
        <v>85</v>
      </c>
      <c r="B22" s="7"/>
      <c r="C22" s="27"/>
      <c r="D22" s="34"/>
      <c r="E22" s="114" t="str">
        <f>'02 Acts - Data'!B27</f>
        <v xml:space="preserve"> d=110 мм.</v>
      </c>
      <c r="F22" s="114"/>
      <c r="G22" s="114"/>
      <c r="H22" s="114"/>
      <c r="I22" s="114"/>
      <c r="J22" s="114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 x14ac:dyDescent="0.3">
      <c r="A24" s="7" t="s">
        <v>86</v>
      </c>
      <c r="B24" s="32"/>
      <c r="C24" s="27"/>
      <c r="D24" s="115" t="str">
        <f>'02 Acts - Data'!B8</f>
        <v>01.06.2024 г.</v>
      </c>
      <c r="E24" s="115"/>
      <c r="F24" s="115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7" t="s">
        <v>87</v>
      </c>
      <c r="B26" s="32"/>
      <c r="C26" s="27"/>
      <c r="D26" s="116" t="str">
        <f>'02 Acts - Data'!B9</f>
        <v>03.06.2024 г.</v>
      </c>
      <c r="E26" s="116"/>
      <c r="F26" s="116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3.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5" customHeight="1" x14ac:dyDescent="0.3">
      <c r="A28" s="111" t="s">
        <v>88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25" customHeight="1" x14ac:dyDescent="0.3">
      <c r="A30" s="7" t="s">
        <v>90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4.2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3.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5" spans="1:9" ht="13.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3.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3.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3.5" customHeight="1" x14ac:dyDescent="0.3">
      <c r="A39" s="7"/>
      <c r="C39" s="7"/>
      <c r="D39" s="7"/>
      <c r="E39" s="7"/>
      <c r="F39" s="7"/>
      <c r="G39" s="7"/>
      <c r="H39" s="7"/>
      <c r="I39" s="7"/>
    </row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2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20" customWidth="1"/>
    <col min="5" max="5" width="8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4.88671875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107"/>
      <c r="K3" s="107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3.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3.5" customHeight="1" x14ac:dyDescent="0.3">
      <c r="A7" s="111" t="s">
        <v>91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7" t="s">
        <v>92</v>
      </c>
      <c r="B14" s="5"/>
      <c r="C14" s="27"/>
      <c r="D14" s="5"/>
      <c r="E14" s="29"/>
      <c r="F14" s="29"/>
      <c r="G14" s="2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113" t="str">
        <f>'02 Acts - Data'!B6</f>
        <v>ГНБ № 10-1С</v>
      </c>
      <c r="B15" s="113"/>
      <c r="C15" s="113"/>
      <c r="D15" s="112" t="s">
        <v>93</v>
      </c>
      <c r="E15" s="112"/>
      <c r="F15" s="30" t="str">
        <f>'02 Acts - Data'!B5</f>
        <v>По адресу: г. Москва, ул. Кантемировская, д.60</v>
      </c>
      <c r="G15" s="30"/>
      <c r="H15" s="30"/>
      <c r="I15" s="30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3.5" customHeight="1" x14ac:dyDescent="0.3">
      <c r="A17" s="32" t="s">
        <v>94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32" t="s">
        <v>95</v>
      </c>
      <c r="B18" s="32" t="s">
        <v>96</v>
      </c>
      <c r="C18" s="27"/>
      <c r="D18" s="1" t="str">
        <f>'02 Acts - Data'!A31</f>
        <v>ГНБ № 10-1С</v>
      </c>
      <c r="E18" s="1" t="s">
        <v>97</v>
      </c>
      <c r="F18" s="4">
        <f>'02 Acts - Data'!B31</f>
        <v>40.81</v>
      </c>
      <c r="G18" s="1" t="s">
        <v>98</v>
      </c>
      <c r="H18" s="4">
        <f>'02 Acts - Data'!C31</f>
        <v>42.96</v>
      </c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3.5" customHeight="1" x14ac:dyDescent="0.3">
      <c r="A19" s="32">
        <v>2</v>
      </c>
      <c r="B19" s="32" t="s">
        <v>99</v>
      </c>
      <c r="C19" s="27"/>
      <c r="D19" s="1" t="str">
        <f>'02 Acts - Data'!A31</f>
        <v>ГНБ № 10-1С</v>
      </c>
      <c r="E19" s="117">
        <f>'02 Acts - Data'!D31</f>
        <v>2</v>
      </c>
      <c r="F19" s="117"/>
      <c r="G19" s="1"/>
      <c r="H19" s="112"/>
      <c r="I19" s="112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3.5" customHeight="1" x14ac:dyDescent="0.3">
      <c r="A20" s="32">
        <v>3</v>
      </c>
      <c r="B20" s="32" t="s">
        <v>100</v>
      </c>
      <c r="C20" s="27"/>
      <c r="D20" s="1" t="str">
        <f>'02 Acts - Data'!A31</f>
        <v>ГНБ № 10-1С</v>
      </c>
      <c r="E20" s="117">
        <f>'02 Acts - Data'!E31</f>
        <v>85.92</v>
      </c>
      <c r="F20" s="117"/>
      <c r="G20" s="1"/>
      <c r="H20" s="118"/>
      <c r="I20" s="118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29.25" customHeight="1" x14ac:dyDescent="0.3">
      <c r="A21" s="32">
        <v>4</v>
      </c>
      <c r="B21" s="32" t="s">
        <v>101</v>
      </c>
      <c r="D21" s="119" t="str">
        <f>'02 Acts - Data'!B26</f>
        <v>Труба "ПЭ тип "С" 110*6,3 техническая (L012) (паспорт  качества от 23.08.2021г.)</v>
      </c>
      <c r="E21" s="119"/>
      <c r="F21" s="119"/>
      <c r="G21" s="119"/>
      <c r="H21" s="119"/>
      <c r="I21" s="119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3.5" customHeight="1" x14ac:dyDescent="0.3">
      <c r="A22" s="32">
        <v>5</v>
      </c>
      <c r="B22" s="32" t="s">
        <v>102</v>
      </c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>
        <v>6</v>
      </c>
      <c r="B23" s="32" t="s">
        <v>103</v>
      </c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3.5" customHeight="1" x14ac:dyDescent="0.3">
      <c r="A24" s="32">
        <v>7</v>
      </c>
      <c r="B24" s="32" t="s">
        <v>104</v>
      </c>
      <c r="C24" s="27"/>
      <c r="D24" s="5"/>
      <c r="E24" s="5"/>
      <c r="F24" s="5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32" t="s">
        <v>105</v>
      </c>
      <c r="B26" s="32"/>
      <c r="C26" s="27"/>
      <c r="D26" s="5"/>
      <c r="E26" s="113" t="str">
        <f>'02 Acts - Data'!B6</f>
        <v>ГНБ № 10-1С</v>
      </c>
      <c r="F26" s="113"/>
      <c r="G26" s="113"/>
      <c r="H26" s="32" t="s">
        <v>106</v>
      </c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.25" customHeight="1" x14ac:dyDescent="0.3">
      <c r="A27" s="32" t="s">
        <v>107</v>
      </c>
      <c r="B27" s="32"/>
      <c r="C27" s="27"/>
      <c r="D27" s="5"/>
      <c r="E27" s="34"/>
      <c r="F27" s="34"/>
      <c r="G27" s="34"/>
      <c r="H27" s="32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4.25" customHeight="1" x14ac:dyDescent="0.3">
      <c r="A28" s="32"/>
      <c r="B28" s="32"/>
      <c r="C28" s="27"/>
      <c r="D28" s="5"/>
      <c r="E28" s="34"/>
      <c r="F28" s="34"/>
      <c r="G28" s="34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2" spans="1:26" ht="13.5" customHeight="1" x14ac:dyDescent="0.3">
      <c r="A32" s="7" t="str">
        <f>'02 Acts - Data'!C20</f>
        <v>Представитель Южного РЭС АО "ОЭК" ____________________</v>
      </c>
      <c r="C32" s="7"/>
      <c r="D32" s="7"/>
      <c r="E32" s="7"/>
      <c r="F32" s="7"/>
      <c r="G32" s="7"/>
      <c r="H32" s="7"/>
      <c r="I32" s="7"/>
    </row>
    <row r="33" spans="1:9" ht="13.5" customHeight="1" x14ac:dyDescent="0.3">
      <c r="A33" s="7"/>
      <c r="C33" s="7"/>
      <c r="D33" s="7"/>
      <c r="E33" s="7"/>
      <c r="F33" s="7"/>
      <c r="G33" s="7"/>
      <c r="H33" s="7"/>
      <c r="I33" s="7"/>
    </row>
    <row r="34" spans="1:9" ht="13.5" customHeight="1" x14ac:dyDescent="0.3">
      <c r="A34" s="7" t="str">
        <f>'02 Acts - Data'!C21</f>
        <v>Начальник участка ООО «Резонанс-Энерго» ______________________Борков Е.А</v>
      </c>
      <c r="C34" s="7"/>
      <c r="D34" s="7"/>
      <c r="E34" s="7"/>
      <c r="F34" s="7"/>
      <c r="G34" s="7"/>
      <c r="H34" s="7"/>
      <c r="I34" s="7"/>
    </row>
    <row r="35" spans="1:9" ht="13.5" customHeight="1" x14ac:dyDescent="0.3">
      <c r="A35" s="7"/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4">
    <mergeCell ref="E20:F20"/>
    <mergeCell ref="H20:I20"/>
    <mergeCell ref="D21:I21"/>
    <mergeCell ref="E26:G26"/>
    <mergeCell ref="A7:K7"/>
    <mergeCell ref="A15:C15"/>
    <mergeCell ref="D15:E15"/>
    <mergeCell ref="E19:F19"/>
    <mergeCell ref="H19:I19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3" customWidth="1"/>
    <col min="8" max="8" width="10.21875" customWidth="1"/>
    <col min="9" max="9" width="9.21875" customWidth="1"/>
    <col min="10" max="10" width="8.44140625" customWidth="1"/>
    <col min="11" max="11" width="9" customWidth="1"/>
    <col min="12" max="12" width="1.44140625" customWidth="1"/>
    <col min="13" max="13" width="9.109375" customWidth="1"/>
  </cols>
  <sheetData>
    <row r="1" spans="1:257" ht="15" customHeight="1" x14ac:dyDescent="0.3">
      <c r="B1" s="35" t="s">
        <v>57</v>
      </c>
      <c r="C1" s="36" t="str">
        <f>'02 Acts - Data'!B14</f>
        <v>ГКУ «УДМС»</v>
      </c>
      <c r="D1" s="36"/>
      <c r="E1" s="36"/>
      <c r="F1" s="36"/>
      <c r="G1" s="37"/>
      <c r="H1" s="36"/>
      <c r="I1" s="36"/>
      <c r="J1" s="36"/>
      <c r="K1" s="36"/>
    </row>
    <row r="2" spans="1:257" ht="15" customHeight="1" x14ac:dyDescent="0.3">
      <c r="B2" s="35" t="s">
        <v>75</v>
      </c>
      <c r="C2" s="36" t="str">
        <f>'02 Acts - Data'!B15</f>
        <v>ООО «Резонанс-Энерго»</v>
      </c>
      <c r="D2" s="36"/>
      <c r="E2" s="36"/>
      <c r="F2" s="36"/>
      <c r="G2" s="37"/>
      <c r="H2" s="36"/>
      <c r="I2" s="36"/>
      <c r="J2" s="36"/>
      <c r="K2" s="36"/>
    </row>
    <row r="3" spans="1:257" ht="45.75" customHeight="1" x14ac:dyDescent="0.3">
      <c r="B3" s="38" t="s">
        <v>59</v>
      </c>
      <c r="C3" s="12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0"/>
      <c r="E3" s="120"/>
      <c r="F3" s="120"/>
      <c r="G3" s="120"/>
      <c r="H3" s="120"/>
      <c r="I3" s="120"/>
      <c r="J3" s="120"/>
      <c r="K3" s="120"/>
    </row>
    <row r="4" spans="1:257" ht="15" customHeight="1" x14ac:dyDescent="0.3">
      <c r="B4" s="38" t="s">
        <v>60</v>
      </c>
      <c r="C4" s="39" t="str">
        <f>'02 Acts - Data'!B11</f>
        <v>03.06.2024 г.</v>
      </c>
      <c r="G4" s="121"/>
      <c r="H4" s="121"/>
      <c r="I4" s="121"/>
      <c r="J4" s="121"/>
      <c r="K4" s="40"/>
    </row>
    <row r="5" spans="1:257" ht="9.75" customHeight="1" x14ac:dyDescent="0.3">
      <c r="A5" s="122"/>
      <c r="B5" s="122"/>
      <c r="G5" s="123"/>
      <c r="H5" s="123"/>
      <c r="I5" s="123"/>
      <c r="J5" s="123"/>
      <c r="K5" s="123"/>
      <c r="O5" s="42"/>
      <c r="P5" s="42"/>
      <c r="Q5" s="42"/>
      <c r="R5" s="42"/>
      <c r="S5" s="42"/>
    </row>
    <row r="6" spans="1:257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</row>
    <row r="7" spans="1:257" ht="15.75" customHeight="1" x14ac:dyDescent="0.3">
      <c r="A7" s="111" t="s">
        <v>108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27"/>
      <c r="M7" s="27"/>
      <c r="N7" s="27"/>
      <c r="O7" s="27"/>
      <c r="P7" s="27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7"/>
      <c r="M8" s="27"/>
      <c r="N8" s="27"/>
      <c r="O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L9" s="27"/>
      <c r="M9" s="27"/>
      <c r="N9" s="27"/>
      <c r="O9" s="27"/>
      <c r="P9" s="27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</row>
    <row r="10" spans="1:257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L10" s="27"/>
      <c r="M10" s="27"/>
      <c r="N10" s="27"/>
      <c r="O10" s="27"/>
      <c r="P10" s="27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</row>
    <row r="11" spans="1:257" ht="13.5" customHeight="1" x14ac:dyDescent="0.3">
      <c r="A11" s="27" t="str">
        <f>'02 Acts - Data'!B20</f>
        <v xml:space="preserve">Представитель ЮРЭС АО "ОЭК" </v>
      </c>
      <c r="B11" s="28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</row>
    <row r="12" spans="1:257" ht="13.5" customHeight="1" x14ac:dyDescent="0.3">
      <c r="A12" s="7" t="str">
        <f>'02 Acts - Data'!B21</f>
        <v>Начальник участка ООО «Резонанс-Энерго» Борков Е.А</v>
      </c>
      <c r="B12" s="28"/>
      <c r="C12" s="27"/>
      <c r="D12" s="7"/>
      <c r="E12" s="7"/>
      <c r="F12" s="7"/>
      <c r="G12" s="7"/>
      <c r="H12" s="7"/>
      <c r="I12" s="7"/>
      <c r="J12" s="7"/>
      <c r="K12" s="7"/>
      <c r="L12" s="27"/>
      <c r="M12" s="27"/>
      <c r="N12" s="27"/>
      <c r="O12" s="27"/>
      <c r="P12" s="27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L13" s="27"/>
      <c r="M13" s="27"/>
      <c r="N13" s="27"/>
      <c r="O13" s="27"/>
      <c r="P13" s="27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</row>
    <row r="14" spans="1:257" ht="15.75" customHeight="1" x14ac:dyDescent="0.3">
      <c r="A14" s="27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L14" s="27"/>
      <c r="M14" s="27"/>
      <c r="N14" s="27"/>
      <c r="O14" s="27"/>
      <c r="P14" s="27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</row>
    <row r="15" spans="1:257" ht="15.75" customHeight="1" x14ac:dyDescent="0.3">
      <c r="A15" s="27" t="s">
        <v>109</v>
      </c>
      <c r="B15" s="29"/>
      <c r="C15" s="29"/>
      <c r="D15" s="27"/>
      <c r="E15" s="43" t="str">
        <f>'02 Acts - Data'!B6</f>
        <v>ГНБ № 10-1С</v>
      </c>
      <c r="F15" s="43"/>
      <c r="G15" s="43"/>
      <c r="H15" s="29"/>
      <c r="I15" s="29"/>
      <c r="J15" s="27"/>
      <c r="K15" s="27"/>
      <c r="L15" s="27"/>
      <c r="M15" s="27"/>
      <c r="N15" s="27"/>
      <c r="O15" s="27"/>
      <c r="P15" s="27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</row>
    <row r="16" spans="1:257" ht="15.75" customHeight="1" x14ac:dyDescent="0.3">
      <c r="A16" s="27" t="s">
        <v>110</v>
      </c>
      <c r="B16" s="29"/>
      <c r="C16" s="29"/>
      <c r="D16" s="27"/>
      <c r="E16" s="27"/>
      <c r="F16" s="29"/>
      <c r="G16" s="29"/>
      <c r="H16" s="29"/>
      <c r="I16" s="29"/>
      <c r="J16" s="27"/>
      <c r="K16" s="27"/>
      <c r="L16" s="27"/>
      <c r="M16" s="27"/>
      <c r="N16" s="27"/>
      <c r="O16" s="27"/>
      <c r="P16" s="27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</row>
    <row r="17" spans="1:257" ht="15.75" customHeight="1" x14ac:dyDescent="0.3">
      <c r="A17" s="30" t="str">
        <f>'02 Acts - Data'!B23</f>
        <v>Представитель Южного РЭС АО "ОЭК" и АО "ОЭК"</v>
      </c>
      <c r="B17" s="30"/>
      <c r="C17" s="30"/>
      <c r="D17" s="30"/>
      <c r="E17" s="30"/>
      <c r="F17" s="30"/>
      <c r="G17" s="30"/>
      <c r="H17" s="27" t="s">
        <v>111</v>
      </c>
      <c r="I17" s="34"/>
      <c r="J17" s="27"/>
      <c r="K17" s="27"/>
      <c r="L17" s="27"/>
      <c r="M17" s="27"/>
      <c r="N17" s="27"/>
      <c r="O17" s="27"/>
      <c r="P17" s="27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</row>
    <row r="18" spans="1:257" ht="15.75" customHeight="1" x14ac:dyDescent="0.3">
      <c r="A18" s="27" t="s">
        <v>112</v>
      </c>
      <c r="B18" s="29"/>
      <c r="C18" s="29"/>
      <c r="D18" s="27"/>
      <c r="E18" s="27"/>
      <c r="F18" s="29"/>
      <c r="G18" s="29"/>
      <c r="H18" s="29"/>
      <c r="I18" s="29"/>
      <c r="J18" s="27"/>
      <c r="K18" s="27"/>
      <c r="L18" s="27"/>
      <c r="M18" s="27"/>
      <c r="N18" s="27"/>
      <c r="O18" s="27"/>
      <c r="P18" s="27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</row>
    <row r="19" spans="1:257" ht="15.75" customHeight="1" x14ac:dyDescent="0.3">
      <c r="A19" s="7" t="s">
        <v>113</v>
      </c>
      <c r="B19" s="5"/>
      <c r="C19" s="27"/>
      <c r="D19" s="6"/>
      <c r="E19" s="6"/>
      <c r="F19" s="6"/>
      <c r="G19" s="6"/>
      <c r="H19" s="6"/>
      <c r="I19" s="6"/>
      <c r="J19" s="6"/>
      <c r="K19" s="6"/>
      <c r="L19" s="27"/>
      <c r="M19" s="27"/>
      <c r="N19" s="27"/>
      <c r="O19" s="27"/>
      <c r="P19" s="27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</row>
    <row r="20" spans="1:257" ht="15.75" customHeight="1" x14ac:dyDescent="0.3">
      <c r="A20" s="27" t="s">
        <v>114</v>
      </c>
      <c r="B20" s="5"/>
      <c r="C20" s="27"/>
      <c r="D20" s="29"/>
      <c r="E20" s="29"/>
      <c r="F20" s="29"/>
      <c r="G20" s="7"/>
      <c r="H20" s="5"/>
      <c r="I20" s="5"/>
      <c r="J20" s="5"/>
      <c r="K20" s="5"/>
      <c r="L20" s="27"/>
      <c r="M20" s="27"/>
      <c r="N20" s="27"/>
      <c r="O20" s="27"/>
      <c r="P20" s="27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</row>
    <row r="21" spans="1:257" ht="15.75" customHeight="1" x14ac:dyDescent="0.3">
      <c r="A21" s="27" t="s">
        <v>115</v>
      </c>
      <c r="B21" s="25"/>
      <c r="C21" s="27"/>
      <c r="D21" s="1"/>
      <c r="E21" s="1"/>
      <c r="F21" s="34"/>
      <c r="G21" s="1"/>
      <c r="H21" s="1"/>
      <c r="I21" s="34"/>
      <c r="J21" s="5"/>
      <c r="K21" s="5"/>
      <c r="L21" s="27"/>
      <c r="M21" s="27"/>
      <c r="N21" s="27"/>
      <c r="O21" s="27"/>
      <c r="P21" s="27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</row>
    <row r="22" spans="1:257" ht="15.75" customHeight="1" x14ac:dyDescent="0.3">
      <c r="A22" s="32"/>
      <c r="B22" s="32"/>
      <c r="C22" s="27"/>
      <c r="D22" s="1"/>
      <c r="E22" s="1"/>
      <c r="F22" s="34"/>
      <c r="G22" s="1"/>
      <c r="H22" s="1"/>
      <c r="I22" s="34"/>
      <c r="J22" s="5"/>
      <c r="K22" s="5"/>
      <c r="L22" s="27"/>
      <c r="M22" s="27"/>
      <c r="N22" s="27"/>
      <c r="O22" s="27"/>
      <c r="P22" s="27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</row>
    <row r="23" spans="1:257" ht="15.75" customHeight="1" x14ac:dyDescent="0.3">
      <c r="A23" s="7" t="s">
        <v>83</v>
      </c>
      <c r="B23" s="7"/>
      <c r="C23" s="27"/>
      <c r="D23" s="113" t="str">
        <f>'02 Acts - Data'!B16</f>
        <v>АО "МОСИНЖПРОЕКТ"</v>
      </c>
      <c r="E23" s="113"/>
      <c r="F23" s="113"/>
      <c r="G23" s="1" t="s">
        <v>84</v>
      </c>
      <c r="H23" s="30" t="str">
        <f>'02 Acts - Data'!B7</f>
        <v>ИМ-19-4-Р-3.2Э-ЗП2</v>
      </c>
      <c r="I23" s="30"/>
      <c r="J23" s="30"/>
      <c r="K23" s="5"/>
      <c r="L23" s="27"/>
      <c r="M23" s="27"/>
      <c r="N23" s="27"/>
      <c r="O23" s="27"/>
      <c r="P23" s="27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</row>
    <row r="24" spans="1:257" ht="15.75" customHeight="1" x14ac:dyDescent="0.3">
      <c r="A24" s="32"/>
      <c r="B24" s="32"/>
      <c r="C24" s="27"/>
      <c r="D24" s="1"/>
      <c r="E24" s="20"/>
      <c r="F24" s="20"/>
      <c r="G24" s="1"/>
      <c r="H24" s="27"/>
      <c r="I24" s="27"/>
      <c r="J24" s="5"/>
      <c r="K24" s="5"/>
      <c r="L24" s="27"/>
      <c r="M24" s="27"/>
      <c r="N24" s="27"/>
      <c r="O24" s="27"/>
      <c r="P24" s="27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</row>
    <row r="25" spans="1:257" ht="32.25" customHeight="1" x14ac:dyDescent="0.3">
      <c r="A25" s="7" t="s">
        <v>116</v>
      </c>
      <c r="B25" s="32"/>
      <c r="C25" s="27"/>
      <c r="D25" s="1"/>
      <c r="E25" s="124" t="str">
        <f>'02 Acts - Data'!B26</f>
        <v>Труба "ПЭ тип "С" 110*6,3 техническая (L012) (паспорт  качества от 23.08.2021г.)</v>
      </c>
      <c r="F25" s="124"/>
      <c r="G25" s="124"/>
      <c r="H25" s="124"/>
      <c r="I25" s="124"/>
      <c r="J25" s="124"/>
      <c r="K25" s="5"/>
      <c r="L25" s="27"/>
      <c r="M25" s="27"/>
      <c r="N25" s="27"/>
      <c r="O25" s="27"/>
      <c r="P25" s="27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</row>
    <row r="26" spans="1:257" ht="15.75" customHeight="1" x14ac:dyDescent="0.3">
      <c r="A26" s="32"/>
      <c r="B26" s="32"/>
      <c r="C26" s="27"/>
      <c r="D26" s="1"/>
      <c r="E26" s="20"/>
      <c r="F26" s="20"/>
      <c r="G26" s="1"/>
      <c r="H26" s="27"/>
      <c r="I26" s="27"/>
      <c r="J26" s="5"/>
      <c r="K26" s="5"/>
      <c r="L26" s="27"/>
      <c r="M26" s="27"/>
      <c r="N26" s="27"/>
      <c r="O26" s="27"/>
      <c r="P26" s="27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</row>
    <row r="27" spans="1:257" ht="15.75" customHeight="1" x14ac:dyDescent="0.3">
      <c r="A27" s="7" t="s">
        <v>86</v>
      </c>
      <c r="B27" s="32"/>
      <c r="C27" s="27"/>
      <c r="D27" s="115" t="str">
        <f>'02 Acts - Data'!B8</f>
        <v>01.06.2024 г.</v>
      </c>
      <c r="E27" s="115"/>
      <c r="F27" s="115"/>
      <c r="G27" s="1"/>
      <c r="H27" s="20"/>
      <c r="I27" s="20"/>
      <c r="J27" s="5"/>
      <c r="K27" s="5"/>
      <c r="L27" s="27"/>
      <c r="M27" s="27"/>
      <c r="N27" s="27"/>
      <c r="O27" s="27"/>
      <c r="P27" s="27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</row>
    <row r="28" spans="1:257" ht="15.75" customHeight="1" x14ac:dyDescent="0.3">
      <c r="A28" s="32"/>
      <c r="B28" s="32"/>
      <c r="C28" s="27"/>
      <c r="D28" s="20"/>
      <c r="E28" s="5"/>
      <c r="F28" s="5"/>
      <c r="G28" s="5"/>
      <c r="H28" s="5"/>
      <c r="I28" s="5"/>
      <c r="J28" s="5"/>
      <c r="K28" s="5"/>
      <c r="L28" s="27"/>
      <c r="M28" s="27"/>
      <c r="N28" s="27"/>
      <c r="O28" s="27"/>
      <c r="P28" s="27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</row>
    <row r="29" spans="1:257" ht="15.75" customHeight="1" x14ac:dyDescent="0.3">
      <c r="A29" s="7" t="s">
        <v>87</v>
      </c>
      <c r="B29" s="32"/>
      <c r="C29" s="27"/>
      <c r="D29" s="115" t="str">
        <f>'02 Acts - Data'!B9</f>
        <v>03.06.2024 г.</v>
      </c>
      <c r="E29" s="115"/>
      <c r="F29" s="115"/>
      <c r="G29" s="5"/>
      <c r="H29" s="5"/>
      <c r="I29" s="5"/>
      <c r="J29" s="5"/>
      <c r="K29" s="5"/>
      <c r="L29" s="27"/>
      <c r="M29" s="27"/>
      <c r="N29" s="27"/>
      <c r="O29" s="27"/>
      <c r="P29" s="27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</row>
    <row r="30" spans="1:257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L30" s="27"/>
      <c r="M30" s="27"/>
      <c r="N30" s="27"/>
      <c r="O30" s="27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</row>
    <row r="31" spans="1:257" ht="15.75" customHeight="1" x14ac:dyDescent="0.3">
      <c r="A31" s="111" t="s">
        <v>88</v>
      </c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27"/>
      <c r="M31" s="27"/>
      <c r="N31" s="27"/>
      <c r="O31" s="27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</row>
    <row r="32" spans="1:257" ht="15.75" customHeight="1" x14ac:dyDescent="0.3">
      <c r="A32" s="7" t="s">
        <v>89</v>
      </c>
      <c r="B32" s="32"/>
      <c r="C32" s="27"/>
      <c r="D32" s="5"/>
      <c r="E32" s="5"/>
      <c r="F32" s="5"/>
      <c r="G32" s="5"/>
      <c r="H32" s="5"/>
      <c r="I32" s="5"/>
      <c r="J32" s="5"/>
      <c r="K32" s="5"/>
      <c r="L32" s="27"/>
      <c r="M32" s="27"/>
      <c r="N32" s="27"/>
      <c r="O32" s="27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</row>
    <row r="33" spans="1:257" ht="15.75" customHeight="1" x14ac:dyDescent="0.3">
      <c r="A33" s="7" t="s">
        <v>117</v>
      </c>
      <c r="B33" s="32"/>
      <c r="C33" s="27"/>
      <c r="D33" s="5"/>
      <c r="E33" s="29"/>
      <c r="F33" s="29"/>
      <c r="G33" s="29"/>
      <c r="H33" s="32"/>
      <c r="I33" s="5"/>
      <c r="J33" s="5"/>
      <c r="K33" s="5"/>
      <c r="L33" s="27"/>
      <c r="M33" s="27"/>
      <c r="N33" s="27"/>
      <c r="O33" s="27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</row>
    <row r="34" spans="1:257" ht="15.75" customHeight="1" x14ac:dyDescent="0.3">
      <c r="A34" s="32"/>
      <c r="B34" s="32"/>
      <c r="C34" s="27"/>
      <c r="D34" s="5"/>
      <c r="E34" s="34"/>
      <c r="F34" s="34"/>
      <c r="G34" s="34"/>
      <c r="H34" s="32"/>
      <c r="I34" s="5"/>
      <c r="J34" s="5"/>
      <c r="K34" s="5"/>
      <c r="L34" s="27"/>
      <c r="M34" s="27"/>
      <c r="N34" s="27"/>
      <c r="O34" s="27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</row>
    <row r="35" spans="1:257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</row>
    <row r="36" spans="1:257" ht="15.75" customHeigh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</row>
    <row r="37" spans="1:257" ht="15.75" customHeight="1" x14ac:dyDescent="0.3">
      <c r="A37" s="7" t="str">
        <f>'02 Acts - Data'!C20</f>
        <v>Представитель Южного РЭС АО "ОЭК" ____________________</v>
      </c>
      <c r="B37" s="27"/>
      <c r="C37" s="7"/>
      <c r="D37" s="7"/>
      <c r="E37" s="7"/>
      <c r="F37" s="7"/>
      <c r="G37" s="7"/>
      <c r="H37" s="7"/>
      <c r="I37" s="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</row>
    <row r="38" spans="1:257" ht="15.75" customHeight="1" x14ac:dyDescent="0.3">
      <c r="A38" s="7"/>
      <c r="B38" s="27"/>
      <c r="C38" s="7"/>
      <c r="D38" s="7"/>
      <c r="E38" s="7"/>
      <c r="F38" s="7"/>
      <c r="G38" s="7"/>
      <c r="H38" s="7"/>
      <c r="I38" s="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</row>
    <row r="39" spans="1:257" ht="15.75" customHeight="1" x14ac:dyDescent="0.3">
      <c r="A39" s="7" t="str">
        <f>'02 Acts - Data'!C21</f>
        <v>Начальник участка ООО «Резонанс-Энерго» ______________________Борков Е.А</v>
      </c>
      <c r="B39" s="27"/>
      <c r="C39" s="7"/>
      <c r="D39" s="7"/>
      <c r="E39" s="7"/>
      <c r="F39" s="7"/>
      <c r="G39" s="7"/>
      <c r="H39" s="7"/>
      <c r="I39" s="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</row>
    <row r="40" spans="1:257" ht="15.75" customHeight="1" x14ac:dyDescent="0.3">
      <c r="A40" s="7"/>
      <c r="B40" s="27"/>
      <c r="C40" s="7"/>
      <c r="D40" s="7"/>
      <c r="E40" s="7"/>
      <c r="F40" s="7"/>
      <c r="G40" s="7"/>
      <c r="H40" s="7"/>
      <c r="I40" s="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</row>
    <row r="41" spans="1:257" ht="15.75" customHeight="1" x14ac:dyDescent="0.3">
      <c r="A41" s="7"/>
      <c r="B41" s="27"/>
      <c r="C41" s="7"/>
      <c r="D41" s="7"/>
      <c r="E41" s="7"/>
      <c r="F41" s="7"/>
      <c r="G41" s="7"/>
      <c r="H41" s="7"/>
      <c r="I41" s="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</row>
    <row r="42" spans="1:257" ht="15.7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</row>
    <row r="43" spans="1:257" ht="15.75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</row>
    <row r="44" spans="1:257" ht="15.75" customHeight="1" x14ac:dyDescent="0.3"/>
    <row r="45" spans="1:257" ht="15.75" customHeight="1" x14ac:dyDescent="0.3"/>
    <row r="46" spans="1:257" ht="15.75" customHeight="1" x14ac:dyDescent="0.3"/>
    <row r="47" spans="1:257" ht="15.75" customHeight="1" x14ac:dyDescent="0.3"/>
    <row r="48" spans="1:25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2">
    <mergeCell ref="D29:F29"/>
    <mergeCell ref="A31:K31"/>
    <mergeCell ref="A7:K7"/>
    <mergeCell ref="E14:G14"/>
    <mergeCell ref="D23:F23"/>
    <mergeCell ref="E25:J25"/>
    <mergeCell ref="D27:F27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73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57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57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57" ht="39" customHeight="1" x14ac:dyDescent="0.3">
      <c r="A3" s="44"/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107"/>
      <c r="K3" s="107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  <c r="GP3" s="44"/>
      <c r="GQ3" s="44"/>
      <c r="GR3" s="44"/>
      <c r="GS3" s="44"/>
      <c r="GT3" s="44"/>
      <c r="GU3" s="44"/>
      <c r="GV3" s="44"/>
      <c r="GW3" s="44"/>
      <c r="GX3" s="44"/>
      <c r="GY3" s="44"/>
      <c r="GZ3" s="44"/>
      <c r="HA3" s="44"/>
      <c r="HB3" s="44"/>
      <c r="HC3" s="44"/>
      <c r="HD3" s="44"/>
      <c r="HE3" s="44"/>
      <c r="HF3" s="44"/>
      <c r="HG3" s="44"/>
      <c r="HH3" s="44"/>
      <c r="HI3" s="44"/>
      <c r="HJ3" s="44"/>
      <c r="HK3" s="44"/>
      <c r="HL3" s="44"/>
      <c r="HM3" s="44"/>
      <c r="HN3" s="44"/>
      <c r="HO3" s="44"/>
      <c r="HP3" s="44"/>
      <c r="HQ3" s="44"/>
      <c r="HR3" s="44"/>
      <c r="HS3" s="44"/>
      <c r="HT3" s="44"/>
      <c r="HU3" s="44"/>
      <c r="HV3" s="44"/>
      <c r="HW3" s="44"/>
      <c r="HX3" s="44"/>
      <c r="HY3" s="44"/>
      <c r="HZ3" s="44"/>
      <c r="IA3" s="44"/>
      <c r="IB3" s="44"/>
      <c r="IC3" s="44"/>
      <c r="ID3" s="44"/>
      <c r="IE3" s="44"/>
      <c r="IF3" s="44"/>
      <c r="IG3" s="44"/>
      <c r="IH3" s="44"/>
      <c r="II3" s="44"/>
      <c r="IJ3" s="44"/>
      <c r="IK3" s="44"/>
      <c r="IL3" s="44"/>
      <c r="IM3" s="44"/>
      <c r="IN3" s="44"/>
      <c r="IO3" s="44"/>
      <c r="IP3" s="44"/>
      <c r="IQ3" s="44"/>
      <c r="IR3" s="44"/>
      <c r="IS3" s="44"/>
      <c r="IT3" s="44"/>
      <c r="IU3" s="44"/>
      <c r="IV3" s="44"/>
      <c r="IW3" s="44"/>
    </row>
    <row r="4" spans="1:257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57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57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57" ht="15.75" customHeight="1" x14ac:dyDescent="0.3">
      <c r="A7" s="111" t="s">
        <v>118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57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57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57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57" ht="15.7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57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57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119</v>
      </c>
      <c r="B17" s="5"/>
      <c r="C17" s="27"/>
      <c r="D17" s="113" t="str">
        <f>'02 Acts - Data'!B6</f>
        <v>ГНБ № 10-1С</v>
      </c>
      <c r="E17" s="113"/>
      <c r="F17" s="113"/>
      <c r="G17" s="7" t="s">
        <v>93</v>
      </c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" t="str">
        <f>'02 Acts - Data'!B5</f>
        <v>По адресу: г. Москва, ул. Кантемировская, д.60</v>
      </c>
      <c r="B18" s="45"/>
      <c r="C18" s="31"/>
      <c r="D18" s="2"/>
      <c r="E18" s="2"/>
      <c r="F18" s="4"/>
      <c r="G18" s="2"/>
      <c r="H18" s="1"/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46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3" t="str">
        <f>'02 Acts - Data'!B16</f>
        <v>АО "МОСИНЖПРОЕКТ"</v>
      </c>
      <c r="E20" s="113"/>
      <c r="F20" s="113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2"/>
      <c r="B21" s="32"/>
      <c r="C21" s="27"/>
      <c r="D21" s="1"/>
      <c r="E21" s="20"/>
      <c r="F21" s="20"/>
      <c r="G21" s="1"/>
      <c r="H21" s="27"/>
      <c r="I21" s="27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120</v>
      </c>
      <c r="B22" s="32"/>
      <c r="C22" s="27"/>
      <c r="D22" s="115" t="str">
        <f>'02 Acts - Data'!B8</f>
        <v>01.06.2024 г.</v>
      </c>
      <c r="E22" s="115"/>
      <c r="F22" s="115"/>
      <c r="G22" s="1"/>
      <c r="H22" s="20"/>
      <c r="I22" s="20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20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121</v>
      </c>
      <c r="B24" s="32"/>
      <c r="C24" s="27"/>
      <c r="D24" s="115" t="str">
        <f>'02 Acts - Data'!B9</f>
        <v>03.06.2024 г.</v>
      </c>
      <c r="E24" s="115"/>
      <c r="F24" s="115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111" t="s">
        <v>88</v>
      </c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7" t="s">
        <v>89</v>
      </c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117</v>
      </c>
      <c r="B28" s="32"/>
      <c r="C28" s="27"/>
      <c r="D28" s="5"/>
      <c r="E28" s="29"/>
      <c r="F28" s="29"/>
      <c r="G28" s="29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34"/>
      <c r="F29" s="34"/>
      <c r="G29" s="34"/>
      <c r="H29" s="32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/>
    <row r="32" spans="1:26" ht="15.75" customHeight="1" x14ac:dyDescent="0.3"/>
    <row r="33" spans="1:9" ht="15.75" customHeight="1" x14ac:dyDescent="0.3">
      <c r="A33" s="7" t="str">
        <f>'02 Acts - Data'!C20</f>
        <v>Представитель Южного РЭС АО "ОЭК" ____________________</v>
      </c>
      <c r="C33" s="7"/>
      <c r="D33" s="47"/>
      <c r="E33" s="47"/>
      <c r="F33" s="47"/>
      <c r="G33" s="7"/>
      <c r="H33" s="7"/>
      <c r="I33" s="7"/>
    </row>
    <row r="34" spans="1:9" ht="15.75" customHeight="1" x14ac:dyDescent="0.3">
      <c r="A34" s="7"/>
      <c r="C34" s="7"/>
      <c r="D34" s="7"/>
      <c r="E34" s="7"/>
      <c r="F34" s="7"/>
      <c r="G34" s="7"/>
      <c r="H34" s="7"/>
      <c r="I34" s="7"/>
    </row>
    <row r="35" spans="1:9" ht="15.75" customHeight="1" x14ac:dyDescent="0.3">
      <c r="A35" s="7" t="str">
        <f>'02 Acts - Data'!C21</f>
        <v>Начальник участка ООО «Резонанс-Энерго» ______________________Борков Е.А</v>
      </c>
      <c r="C35" s="7"/>
      <c r="D35" s="7"/>
      <c r="E35" s="48"/>
      <c r="F35" s="48"/>
      <c r="G35" s="48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9" ht="15.75" customHeight="1" x14ac:dyDescent="0.3"/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</sheetData>
  <mergeCells count="12">
    <mergeCell ref="D24:F24"/>
    <mergeCell ref="A26:K26"/>
    <mergeCell ref="A7:K7"/>
    <mergeCell ref="E14:G14"/>
    <mergeCell ref="D17:F17"/>
    <mergeCell ref="D20:F20"/>
    <mergeCell ref="D22:F22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6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8.75" customHeight="1" x14ac:dyDescent="0.3">
      <c r="B3" s="22" t="s">
        <v>59</v>
      </c>
      <c r="C3" s="12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5"/>
      <c r="E3" s="125"/>
      <c r="F3" s="125"/>
      <c r="G3" s="125"/>
      <c r="H3" s="125"/>
      <c r="I3" s="125"/>
      <c r="J3" s="125"/>
      <c r="K3" s="12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5.75" customHeight="1" x14ac:dyDescent="0.3">
      <c r="A7" s="111" t="s">
        <v>122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5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123</v>
      </c>
      <c r="B17" s="5"/>
      <c r="C17" s="27"/>
      <c r="D17" s="113" t="str">
        <f>'02 Acts - Data'!B6</f>
        <v>ГНБ № 10-1С</v>
      </c>
      <c r="E17" s="113"/>
      <c r="F17" s="113"/>
      <c r="G17" s="113"/>
      <c r="H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3" t="str">
        <f>'02 Acts - Data'!B16</f>
        <v>АО "МОСИНЖПРОЕКТ"</v>
      </c>
      <c r="E20" s="113"/>
      <c r="F20" s="113"/>
      <c r="G20" s="1" t="s">
        <v>84</v>
      </c>
      <c r="H20" s="126" t="str">
        <f>'02 Acts - Data'!B7</f>
        <v>ИМ-19-4-Р-3.2Э-ЗП2</v>
      </c>
      <c r="I20" s="126"/>
      <c r="J20" s="126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33" customHeight="1" x14ac:dyDescent="0.3">
      <c r="A22" s="7" t="s">
        <v>124</v>
      </c>
      <c r="B22" s="7"/>
      <c r="C22" s="27"/>
      <c r="D22" s="34"/>
      <c r="E22" s="126" t="str">
        <f>'02 Acts - Data'!B26</f>
        <v>Труба "ПЭ тип "С" 110*6,3 техническая (L012) (паспорт  качества от 23.08.2021г.)</v>
      </c>
      <c r="F22" s="126"/>
      <c r="G22" s="126"/>
      <c r="H22" s="126"/>
      <c r="I22" s="126"/>
      <c r="J22" s="126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125</v>
      </c>
      <c r="B24" s="7"/>
      <c r="C24" s="27"/>
      <c r="D24" s="34"/>
      <c r="E24" s="114" t="str">
        <f>'02 Acts - Data'!B27</f>
        <v xml:space="preserve"> d=110 мм.</v>
      </c>
      <c r="F24" s="114"/>
      <c r="G24" s="114"/>
      <c r="H24" s="114"/>
      <c r="I24" s="114"/>
      <c r="J24" s="114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115" t="str">
        <f>'02 Acts - Data'!B8</f>
        <v>01.06.2024 г.</v>
      </c>
      <c r="E26" s="115"/>
      <c r="F26" s="115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115" t="str">
        <f>'02 Acts - Data'!B9</f>
        <v>03.06.2024 г.</v>
      </c>
      <c r="E28" s="115"/>
      <c r="F28" s="115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111" t="s">
        <v>88</v>
      </c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117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5"/>
      <c r="F33" s="5"/>
      <c r="G33" s="5"/>
      <c r="H33" s="5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/>
    <row r="35" spans="1:26" ht="15.75" customHeight="1" x14ac:dyDescent="0.3"/>
    <row r="36" spans="1:26" ht="15.75" customHeight="1" x14ac:dyDescent="0.3">
      <c r="A36" s="7" t="str">
        <f>'02 Acts - Data'!C20</f>
        <v>Представитель Южного РЭС АО "ОЭК" ____________________</v>
      </c>
      <c r="C36" s="7"/>
      <c r="D36" s="7"/>
      <c r="E36" s="7"/>
      <c r="F36" s="7"/>
      <c r="G36" s="7"/>
      <c r="H36" s="7"/>
      <c r="I36" s="7"/>
    </row>
    <row r="37" spans="1:26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 t="str">
        <f>'02 Acts - Data'!C21</f>
        <v>Начальник участка ООО «Резонанс-Энерго» ______________________Борков Е.А</v>
      </c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/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</sheetData>
  <mergeCells count="16">
    <mergeCell ref="E22:J22"/>
    <mergeCell ref="E24:J24"/>
    <mergeCell ref="D26:F26"/>
    <mergeCell ref="D28:F28"/>
    <mergeCell ref="A30:K30"/>
    <mergeCell ref="A7:K7"/>
    <mergeCell ref="E14:G14"/>
    <mergeCell ref="D17:G17"/>
    <mergeCell ref="C18:H18"/>
    <mergeCell ref="D20:F20"/>
    <mergeCell ref="H20:J20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81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10" max="10" width="12.21875" customWidth="1"/>
    <col min="11" max="11" width="21.109375" customWidth="1"/>
  </cols>
  <sheetData>
    <row r="1" spans="1:26" ht="15.75" customHeight="1" x14ac:dyDescent="0.3">
      <c r="A1" s="127" t="s">
        <v>61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26" ht="15.75" customHeight="1" x14ac:dyDescent="0.3">
      <c r="A2" s="127" t="s">
        <v>128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</row>
    <row r="3" spans="1:26" ht="15.75" customHeight="1" x14ac:dyDescent="0.3"/>
    <row r="4" spans="1:26" ht="15.75" customHeight="1" x14ac:dyDescent="0.3">
      <c r="A4" s="122" t="s">
        <v>129</v>
      </c>
      <c r="B4" s="122"/>
      <c r="C4" s="49"/>
      <c r="D4" s="49"/>
      <c r="E4" s="49"/>
      <c r="F4" s="49"/>
      <c r="G4" s="123" t="str">
        <f>'02 Acts - Data'!B11</f>
        <v>03.06.2024 г.</v>
      </c>
      <c r="H4" s="123"/>
      <c r="I4" s="123"/>
      <c r="J4" s="123"/>
      <c r="K4" s="123"/>
    </row>
    <row r="5" spans="1:26" ht="15.75" customHeight="1" x14ac:dyDescent="0.3">
      <c r="A5" s="49"/>
      <c r="B5" s="49"/>
      <c r="C5" s="49"/>
      <c r="D5" s="49"/>
      <c r="E5" s="49"/>
      <c r="F5" s="49"/>
      <c r="G5" s="49"/>
      <c r="H5" s="49"/>
      <c r="I5" s="49"/>
    </row>
    <row r="6" spans="1:26" ht="15.75" customHeight="1" x14ac:dyDescent="0.3">
      <c r="A6" s="128" t="s">
        <v>130</v>
      </c>
      <c r="B6" s="128"/>
      <c r="C6" s="128"/>
      <c r="D6" s="128"/>
      <c r="E6" s="128"/>
      <c r="F6" s="50" t="str">
        <f>'02 Acts - Data'!B3</f>
        <v>ГНБ 10-1С г. Москва, ул. Кантемировская, д.60</v>
      </c>
      <c r="G6" s="50"/>
      <c r="H6" s="50"/>
      <c r="I6" s="50"/>
      <c r="J6" s="50"/>
      <c r="K6" s="50"/>
      <c r="P6" s="51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5.75" customHeight="1" x14ac:dyDescent="0.3">
      <c r="A7" s="129" t="s">
        <v>131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</row>
    <row r="8" spans="1:26" ht="15.75" customHeight="1" x14ac:dyDescent="0.3"/>
    <row r="9" spans="1:26" ht="40.5" customHeight="1" x14ac:dyDescent="0.3">
      <c r="A9" s="13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spans="1:26" ht="12" customHeight="1" x14ac:dyDescent="0.3">
      <c r="A10" s="131" t="s">
        <v>132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</row>
    <row r="11" spans="1:26" ht="15.75" customHeight="1" x14ac:dyDescent="0.3">
      <c r="A11" s="132" t="str">
        <f>'02 Acts - Data'!B5</f>
        <v>По адресу: г. Москва, ул. Кантемировская, д.60</v>
      </c>
      <c r="B11" s="132"/>
      <c r="C11" s="132"/>
      <c r="D11" s="132"/>
      <c r="E11" s="132"/>
      <c r="F11" s="132"/>
      <c r="G11" s="132"/>
      <c r="H11" s="132"/>
      <c r="I11" s="132"/>
      <c r="J11" s="53"/>
      <c r="K11" s="53"/>
    </row>
    <row r="12" spans="1:26" ht="15.75" customHeight="1" x14ac:dyDescent="0.3">
      <c r="A12" s="129" t="s">
        <v>133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</row>
    <row r="13" spans="1:26" ht="15.75" customHeight="1" x14ac:dyDescent="0.3">
      <c r="A13" s="122" t="s">
        <v>134</v>
      </c>
      <c r="B13" s="122"/>
      <c r="C13" s="54" t="str">
        <f>'02 Acts - Data'!B23</f>
        <v>Представитель Южного РЭС АО "ОЭК" и АО "ОЭК"</v>
      </c>
      <c r="D13" s="41"/>
      <c r="E13" s="41"/>
      <c r="F13" s="41"/>
      <c r="G13" s="41"/>
      <c r="H13" s="41"/>
      <c r="I13" s="41"/>
      <c r="J13" s="41"/>
      <c r="K13" s="41"/>
    </row>
    <row r="14" spans="1:26" ht="15.75" customHeight="1" x14ac:dyDescent="0.3">
      <c r="A14" s="133" t="s">
        <v>135</v>
      </c>
      <c r="B14" s="133"/>
      <c r="C14" s="54" t="str">
        <f>'02 Acts - Data'!B20</f>
        <v xml:space="preserve">Представитель ЮРЭС АО "ОЭК" </v>
      </c>
      <c r="D14" s="55"/>
      <c r="E14" s="55"/>
      <c r="F14" s="55"/>
      <c r="G14" s="55"/>
      <c r="H14" s="55"/>
      <c r="I14" s="55"/>
      <c r="J14" s="56"/>
      <c r="K14" s="56"/>
    </row>
    <row r="15" spans="1:26" ht="15.75" customHeight="1" x14ac:dyDescent="0.3">
      <c r="A15" s="134" t="s">
        <v>136</v>
      </c>
      <c r="B15" s="134"/>
      <c r="C15" s="135" t="str">
        <f>'02 Acts - Data'!B21</f>
        <v>Начальник участка ООО «Резонанс-Энерго» Борков Е.А</v>
      </c>
      <c r="D15" s="135"/>
      <c r="E15" s="135"/>
      <c r="F15" s="135"/>
      <c r="G15" s="135"/>
      <c r="H15" s="135"/>
      <c r="I15" s="135"/>
      <c r="J15" s="135"/>
      <c r="K15" s="135"/>
    </row>
    <row r="16" spans="1:26" ht="15.75" customHeight="1" x14ac:dyDescent="0.3">
      <c r="C16" s="41" t="str">
        <f>'02 Acts - Data'!B22</f>
        <v xml:space="preserve"> </v>
      </c>
      <c r="D16" s="41"/>
      <c r="E16" s="41"/>
      <c r="F16" s="41"/>
      <c r="G16" s="41"/>
      <c r="H16" s="41"/>
      <c r="I16" s="41"/>
      <c r="J16" s="41"/>
      <c r="K16" s="41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5" ht="15.75" customHeight="1" x14ac:dyDescent="0.3">
      <c r="A17" s="49"/>
      <c r="B17" s="49"/>
      <c r="C17" s="122"/>
      <c r="D17" s="122"/>
      <c r="E17" s="122"/>
      <c r="F17" s="122"/>
      <c r="G17" s="122"/>
      <c r="H17" s="122"/>
      <c r="I17" s="122"/>
      <c r="J17" s="122"/>
      <c r="K17" s="122"/>
    </row>
    <row r="18" spans="1:25" ht="15.75" customHeight="1" x14ac:dyDescent="0.3">
      <c r="A18" s="122" t="s">
        <v>77</v>
      </c>
      <c r="B18" s="122"/>
      <c r="C18" s="122"/>
      <c r="D18" s="122"/>
      <c r="E18" s="136" t="str">
        <f>'02 Acts - Data'!B10</f>
        <v>ООО «Резонанс-Энерго»</v>
      </c>
      <c r="F18" s="136"/>
      <c r="G18" s="136"/>
      <c r="H18" s="136"/>
      <c r="I18" s="136"/>
      <c r="J18" s="136"/>
      <c r="K18" s="136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spans="1:25" ht="15.75" customHeight="1" x14ac:dyDescent="0.3">
      <c r="A19" s="122" t="s">
        <v>78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</row>
    <row r="20" spans="1:25" ht="15.75" customHeight="1" x14ac:dyDescent="0.3">
      <c r="B20" s="122" t="s">
        <v>137</v>
      </c>
      <c r="C20" s="122"/>
      <c r="D20" s="122"/>
      <c r="E20" s="122"/>
      <c r="F20" s="122"/>
      <c r="G20" s="122"/>
      <c r="H20" s="122"/>
      <c r="I20" s="122"/>
      <c r="J20" s="122"/>
      <c r="K20" s="122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spans="1:25" ht="15.75" customHeight="1" x14ac:dyDescent="0.3"/>
    <row r="22" spans="1:25" ht="15.75" customHeight="1" x14ac:dyDescent="0.3">
      <c r="A22" s="128" t="s">
        <v>138</v>
      </c>
      <c r="B22" s="128"/>
      <c r="C22" s="128"/>
      <c r="D22" s="128"/>
      <c r="E22" s="128"/>
      <c r="F22" s="50" t="str">
        <f>'02 Acts - Data'!B6</f>
        <v>ГНБ № 10-1С</v>
      </c>
      <c r="G22" s="50"/>
      <c r="H22" s="50"/>
      <c r="I22" s="50"/>
      <c r="J22" s="50"/>
      <c r="K22" s="50"/>
    </row>
    <row r="23" spans="1:25" ht="15.75" customHeight="1" x14ac:dyDescent="0.3">
      <c r="A23" s="129" t="s">
        <v>139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</row>
    <row r="24" spans="1:25" ht="15.75" customHeight="1" x14ac:dyDescent="0.3">
      <c r="B24" s="122" t="s">
        <v>83</v>
      </c>
      <c r="C24" s="122"/>
      <c r="D24" s="122"/>
      <c r="E24" s="122"/>
      <c r="F24" s="136" t="str">
        <f>'02 Acts - Data'!B7</f>
        <v>ИМ-19-4-Р-3.2Э-ЗП2</v>
      </c>
      <c r="G24" s="136"/>
      <c r="H24" s="136"/>
      <c r="I24" s="136"/>
      <c r="J24" s="136"/>
      <c r="K24" s="136"/>
      <c r="P24" s="122"/>
      <c r="Q24" s="122"/>
      <c r="R24" s="122"/>
      <c r="S24" s="122"/>
      <c r="T24" s="122"/>
      <c r="U24" s="122"/>
      <c r="V24" s="122"/>
      <c r="W24" s="122"/>
      <c r="X24" s="122"/>
      <c r="Y24" s="122"/>
    </row>
    <row r="25" spans="1:25" ht="15.75" customHeight="1" x14ac:dyDescent="0.3">
      <c r="B25" s="57" t="s">
        <v>140</v>
      </c>
      <c r="C25" s="51"/>
      <c r="D25" s="51"/>
      <c r="E25" s="51"/>
      <c r="F25" s="51"/>
      <c r="G25" s="51"/>
      <c r="H25" s="51"/>
      <c r="I25" s="51"/>
      <c r="J25" s="51"/>
      <c r="K25" s="51"/>
    </row>
    <row r="26" spans="1:25" ht="15.75" customHeight="1" x14ac:dyDescent="0.3">
      <c r="A26" s="136" t="str">
        <f>'02 Acts - Data'!B16</f>
        <v>АО "МОСИНЖПРОЕКТ"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</row>
    <row r="27" spans="1:25" ht="15.75" customHeight="1" x14ac:dyDescent="0.3">
      <c r="A27" s="138" t="s">
        <v>141</v>
      </c>
      <c r="B27" s="138"/>
      <c r="C27" s="138"/>
      <c r="D27" s="138"/>
      <c r="E27" s="138"/>
      <c r="F27" s="138"/>
      <c r="G27" s="138"/>
      <c r="H27" s="138"/>
      <c r="I27" s="138"/>
      <c r="J27" s="138"/>
      <c r="K27" s="138"/>
    </row>
    <row r="28" spans="1:25" ht="15.75" customHeight="1" x14ac:dyDescent="0.3">
      <c r="B28" s="122" t="s">
        <v>142</v>
      </c>
      <c r="C28" s="122"/>
      <c r="D28" s="122"/>
      <c r="E28" s="122"/>
      <c r="F28" s="122"/>
      <c r="G28" s="122"/>
      <c r="H28" s="122"/>
      <c r="I28" s="122"/>
      <c r="J28" s="122"/>
      <c r="K28" s="122"/>
    </row>
    <row r="29" spans="1:25" ht="15.75" customHeight="1" x14ac:dyDescent="0.3">
      <c r="A29" s="136" t="s">
        <v>143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</row>
    <row r="30" spans="1:25" ht="15.75" customHeight="1" x14ac:dyDescent="0.3">
      <c r="A30" s="129" t="s">
        <v>144</v>
      </c>
      <c r="B30" s="129"/>
      <c r="C30" s="129"/>
      <c r="D30" s="129"/>
      <c r="E30" s="129"/>
      <c r="F30" s="129"/>
      <c r="G30" s="129"/>
      <c r="H30" s="129"/>
      <c r="I30" s="129"/>
      <c r="J30" s="129"/>
      <c r="K30" s="129"/>
    </row>
    <row r="31" spans="1:25" ht="15.75" customHeight="1" x14ac:dyDescent="0.3">
      <c r="B31" s="122" t="s">
        <v>86</v>
      </c>
      <c r="C31" s="122"/>
      <c r="D31" s="122"/>
      <c r="E31" s="122" t="str">
        <f>'02 Acts - Data'!B8</f>
        <v>01.06.2024 г.</v>
      </c>
      <c r="F31" s="122"/>
      <c r="G31" s="122"/>
      <c r="H31" s="122"/>
      <c r="I31" s="122"/>
      <c r="J31" s="122"/>
      <c r="K31" s="122"/>
    </row>
    <row r="32" spans="1:25" ht="15.75" customHeight="1" x14ac:dyDescent="0.3"/>
    <row r="33" spans="1:11" ht="15.75" customHeight="1" x14ac:dyDescent="0.3">
      <c r="B33" s="122" t="s">
        <v>87</v>
      </c>
      <c r="C33" s="122"/>
      <c r="D33" s="122"/>
      <c r="E33" s="122" t="str">
        <f>'02 Acts - Data'!B9</f>
        <v>03.06.2024 г.</v>
      </c>
      <c r="F33" s="122"/>
      <c r="G33" s="122"/>
      <c r="H33" s="122"/>
      <c r="I33" s="122"/>
      <c r="J33" s="122"/>
      <c r="K33" s="122"/>
    </row>
    <row r="34" spans="1:11" ht="15.75" customHeight="1" x14ac:dyDescent="0.3"/>
    <row r="35" spans="1:11" ht="15.75" customHeight="1" x14ac:dyDescent="0.3">
      <c r="A35" s="139" t="s">
        <v>88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</row>
    <row r="36" spans="1:11" ht="15.75" customHeight="1" x14ac:dyDescent="0.3"/>
    <row r="37" spans="1:11" ht="15.75" customHeight="1" x14ac:dyDescent="0.3">
      <c r="B37" s="122" t="s">
        <v>145</v>
      </c>
      <c r="C37" s="122"/>
      <c r="D37" s="122"/>
      <c r="E37" s="122"/>
      <c r="F37" s="122"/>
      <c r="G37" s="122"/>
      <c r="H37" s="122"/>
      <c r="I37" s="122"/>
      <c r="J37" s="122"/>
      <c r="K37" s="122"/>
    </row>
    <row r="38" spans="1:11" ht="15.75" customHeight="1" x14ac:dyDescent="0.3">
      <c r="A38" s="122" t="s">
        <v>146</v>
      </c>
      <c r="B38" s="122"/>
      <c r="C38" s="122"/>
      <c r="D38" s="122"/>
    </row>
    <row r="39" spans="1:11" ht="15.75" customHeight="1" x14ac:dyDescent="0.3">
      <c r="B39" s="122" t="s">
        <v>147</v>
      </c>
      <c r="C39" s="122"/>
      <c r="D39" s="122"/>
      <c r="E39" s="122"/>
      <c r="F39" s="122"/>
      <c r="G39" s="122"/>
      <c r="H39" s="122"/>
      <c r="I39" s="122"/>
      <c r="J39" s="122"/>
      <c r="K39" s="122"/>
    </row>
    <row r="40" spans="1:11" ht="15.75" customHeight="1" x14ac:dyDescent="0.3">
      <c r="A40" s="136" t="s">
        <v>148</v>
      </c>
      <c r="B40" s="136"/>
      <c r="C40" s="136"/>
      <c r="D40" s="136"/>
      <c r="E40" s="136"/>
      <c r="F40" s="136"/>
      <c r="G40" s="136"/>
      <c r="H40" s="136"/>
      <c r="I40" s="136"/>
      <c r="J40" s="136"/>
      <c r="K40" s="136"/>
    </row>
    <row r="41" spans="1:11" ht="15.75" customHeight="1" x14ac:dyDescent="0.3"/>
    <row r="42" spans="1:11" ht="15.75" customHeight="1" x14ac:dyDescent="0.3">
      <c r="A42" s="51"/>
      <c r="B42" s="122" t="str">
        <f>'02 Acts - Data'!B20</f>
        <v xml:space="preserve">Представитель ЮРЭС АО "ОЭК" </v>
      </c>
      <c r="C42" s="122"/>
      <c r="D42" s="122"/>
      <c r="E42" s="122"/>
      <c r="F42" s="122"/>
      <c r="G42" s="122"/>
      <c r="H42" s="122"/>
      <c r="I42" s="122"/>
      <c r="J42" s="122"/>
      <c r="K42" s="51"/>
    </row>
    <row r="43" spans="1:11" ht="15.75" customHeight="1" x14ac:dyDescent="0.3">
      <c r="B43" s="51" t="str">
        <f>'02 Acts - Data'!B23</f>
        <v>Представитель Южного РЭС АО "ОЭК" и АО "ОЭК"</v>
      </c>
    </row>
    <row r="44" spans="1:11" ht="15.75" customHeight="1" x14ac:dyDescent="0.3">
      <c r="B44" s="122" t="str">
        <f>'02 Acts - Data'!B21</f>
        <v>Начальник участка ООО «Резонанс-Энерго» Борков Е.А</v>
      </c>
      <c r="C44" s="122"/>
      <c r="D44" s="122"/>
      <c r="E44" s="122"/>
      <c r="F44" s="122"/>
      <c r="G44" s="122"/>
      <c r="H44" s="122"/>
      <c r="I44" s="122"/>
      <c r="J44" s="122"/>
    </row>
    <row r="45" spans="1:11" ht="15.75" customHeight="1" x14ac:dyDescent="0.3">
      <c r="A45" s="51"/>
      <c r="B45" s="122" t="str">
        <f>'02 Acts - Data'!B22</f>
        <v xml:space="preserve"> </v>
      </c>
      <c r="C45" s="122"/>
      <c r="D45" s="122"/>
      <c r="E45" s="122"/>
      <c r="F45" s="122"/>
      <c r="G45" s="122"/>
      <c r="H45" s="122"/>
      <c r="I45" s="122"/>
      <c r="J45" s="122"/>
      <c r="K45" s="51"/>
    </row>
    <row r="46" spans="1:11" ht="15.75" customHeight="1" x14ac:dyDescent="0.3">
      <c r="B46" s="122"/>
      <c r="C46" s="122"/>
      <c r="D46" s="122"/>
      <c r="E46" s="122"/>
      <c r="F46" s="122"/>
      <c r="G46" s="122"/>
      <c r="H46" s="122"/>
      <c r="I46" s="122"/>
      <c r="J46" s="122"/>
    </row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</sheetData>
  <mergeCells count="45">
    <mergeCell ref="B44:J44"/>
    <mergeCell ref="B45:J45"/>
    <mergeCell ref="B46:J46"/>
    <mergeCell ref="B37:K37"/>
    <mergeCell ref="A38:D38"/>
    <mergeCell ref="B39:K39"/>
    <mergeCell ref="A40:K40"/>
    <mergeCell ref="B42:J42"/>
    <mergeCell ref="B31:D31"/>
    <mergeCell ref="E31:K31"/>
    <mergeCell ref="B33:D33"/>
    <mergeCell ref="E33:K33"/>
    <mergeCell ref="A35:K35"/>
    <mergeCell ref="A26:K26"/>
    <mergeCell ref="A27:K27"/>
    <mergeCell ref="B28:K28"/>
    <mergeCell ref="A29:K29"/>
    <mergeCell ref="A30:K30"/>
    <mergeCell ref="B20:K20"/>
    <mergeCell ref="P20:Y20"/>
    <mergeCell ref="A22:E22"/>
    <mergeCell ref="A23:K23"/>
    <mergeCell ref="B24:E24"/>
    <mergeCell ref="F24:K24"/>
    <mergeCell ref="P24:Y24"/>
    <mergeCell ref="C17:K17"/>
    <mergeCell ref="A18:D18"/>
    <mergeCell ref="E18:K18"/>
    <mergeCell ref="P18:Y18"/>
    <mergeCell ref="A19:K19"/>
    <mergeCell ref="A13:B13"/>
    <mergeCell ref="A14:B14"/>
    <mergeCell ref="A15:B15"/>
    <mergeCell ref="C15:K15"/>
    <mergeCell ref="P16:Z16"/>
    <mergeCell ref="A7:K7"/>
    <mergeCell ref="A9:K9"/>
    <mergeCell ref="A10:K10"/>
    <mergeCell ref="A11:I11"/>
    <mergeCell ref="A12:K12"/>
    <mergeCell ref="A1:K1"/>
    <mergeCell ref="A2:K2"/>
    <mergeCell ref="A4:B4"/>
    <mergeCell ref="G4:K4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0.5" customHeight="1" x14ac:dyDescent="0.3">
      <c r="B3" s="22" t="s">
        <v>59</v>
      </c>
      <c r="C3" s="12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5"/>
      <c r="E3" s="125"/>
      <c r="F3" s="125"/>
      <c r="G3" s="125"/>
      <c r="H3" s="125"/>
      <c r="I3" s="125"/>
      <c r="J3" s="125"/>
      <c r="K3" s="12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5.75" customHeight="1" x14ac:dyDescent="0.3">
      <c r="A7" s="111" t="s">
        <v>149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150</v>
      </c>
      <c r="B17" s="5"/>
      <c r="C17" s="27"/>
      <c r="D17" s="29"/>
      <c r="E17" s="29"/>
      <c r="F17" s="113" t="str">
        <f>'02 Acts - Data'!B6</f>
        <v>ГНБ № 10-1С</v>
      </c>
      <c r="G17" s="113"/>
      <c r="H17" s="113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3" t="str">
        <f>'02 Acts - Data'!B16</f>
        <v>АО "МОСИНЖПРОЕКТ"</v>
      </c>
      <c r="E20" s="113"/>
      <c r="F20" s="113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28.5" customHeight="1" x14ac:dyDescent="0.3">
      <c r="A22" s="7" t="s">
        <v>116</v>
      </c>
      <c r="B22" s="7"/>
      <c r="C22" s="27"/>
      <c r="D22" s="34"/>
      <c r="E22" s="126" t="str">
        <f>'02 Acts - Data'!B26</f>
        <v>Труба "ПЭ тип "С" 110*6,3 техническая (L012) (паспорт  качества от 23.08.2021г.)</v>
      </c>
      <c r="F22" s="126"/>
      <c r="G22" s="126"/>
      <c r="H22" s="126"/>
      <c r="I22" s="126"/>
      <c r="J22" s="126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86</v>
      </c>
      <c r="B24" s="32"/>
      <c r="C24" s="27"/>
      <c r="D24" s="115" t="str">
        <f>'02 Acts - Data'!B8</f>
        <v>01.06.2024 г.</v>
      </c>
      <c r="E24" s="115"/>
      <c r="F24" s="115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87</v>
      </c>
      <c r="B26" s="32"/>
      <c r="C26" s="27"/>
      <c r="D26" s="115" t="str">
        <f>'02 Acts - Data'!B9</f>
        <v>03.06.2024 г.</v>
      </c>
      <c r="E26" s="115"/>
      <c r="F26" s="115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111" t="s">
        <v>88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7" t="s">
        <v>117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9" ht="15.75" customHeight="1" x14ac:dyDescent="0.3"/>
    <row r="34" spans="1:9" ht="15.75" customHeight="1" x14ac:dyDescent="0.3"/>
    <row r="35" spans="1:9" ht="15.7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16.664062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12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5"/>
      <c r="E3" s="125"/>
      <c r="F3" s="125"/>
      <c r="G3" s="125"/>
      <c r="H3" s="125"/>
      <c r="I3" s="125"/>
      <c r="J3" s="125"/>
      <c r="K3" s="12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5.75" customHeight="1" x14ac:dyDescent="0.3">
      <c r="A7" s="111" t="s">
        <v>151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27" t="str">
        <f>'02 Acts - Data'!B22</f>
        <v xml:space="preserve"> </v>
      </c>
      <c r="B13" s="6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152</v>
      </c>
      <c r="B17" s="5"/>
      <c r="C17" s="27"/>
      <c r="D17" s="29"/>
      <c r="E17" s="113" t="str">
        <f>'02 Acts - Data'!B6</f>
        <v>ГНБ № 10-1С</v>
      </c>
      <c r="F17" s="113"/>
      <c r="G17" s="113"/>
      <c r="H17" s="7" t="s">
        <v>153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58" t="s">
        <v>154</v>
      </c>
      <c r="B20" s="58"/>
      <c r="C20" s="58"/>
      <c r="D20" s="29"/>
      <c r="E20" s="140">
        <f>'02 Acts - Data'!H31</f>
        <v>6.609230769230769</v>
      </c>
      <c r="F20" s="140"/>
      <c r="G20" s="27"/>
      <c r="H20" s="27"/>
      <c r="I20" s="29"/>
      <c r="J20" s="29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29"/>
      <c r="I21" s="29"/>
      <c r="J21" s="29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155</v>
      </c>
      <c r="B22" s="7"/>
      <c r="C22" s="27"/>
      <c r="D22" s="113" t="str">
        <f>'02 Acts - Data'!B16</f>
        <v>АО "МОСИНЖПРОЕКТ"</v>
      </c>
      <c r="E22" s="113"/>
      <c r="F22" s="113"/>
      <c r="G22" s="1" t="s">
        <v>84</v>
      </c>
      <c r="H22" s="30" t="str">
        <f>'02 Acts - Data'!B7</f>
        <v>ИМ-19-4-Р-3.2Э-ЗП2</v>
      </c>
      <c r="I22" s="29"/>
      <c r="J22" s="29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25.5" customHeight="1" x14ac:dyDescent="0.3">
      <c r="A24" s="7" t="s">
        <v>156</v>
      </c>
      <c r="B24" s="7"/>
      <c r="C24" s="27"/>
      <c r="D24" s="34"/>
      <c r="E24" s="124" t="str">
        <f>'02 Acts - Data'!B26</f>
        <v>Труба "ПЭ тип "С" 110*6,3 техническая (L012) (паспорт  качества от 23.08.2021г.)</v>
      </c>
      <c r="F24" s="124"/>
      <c r="G24" s="124"/>
      <c r="H24" s="124"/>
      <c r="I24" s="124"/>
      <c r="J24" s="124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113" t="str">
        <f>'02 Acts - Data'!B8</f>
        <v>01.06.2024 г.</v>
      </c>
      <c r="E26" s="113"/>
      <c r="F26" s="113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113" t="str">
        <f>'02 Acts - Data'!B9</f>
        <v>03.06.2024 г.</v>
      </c>
      <c r="E28" s="113"/>
      <c r="F28" s="113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111" t="s">
        <v>88</v>
      </c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157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34"/>
      <c r="F33" s="34"/>
      <c r="G33" s="34"/>
      <c r="H33" s="32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>
      <c r="A34" s="32"/>
      <c r="B34" s="32"/>
      <c r="C34" s="27"/>
      <c r="D34" s="5"/>
      <c r="E34" s="5"/>
      <c r="F34" s="5"/>
      <c r="G34" s="5"/>
      <c r="H34" s="5"/>
      <c r="I34" s="5"/>
      <c r="J34" s="5"/>
      <c r="K34" s="5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 x14ac:dyDescent="0.3"/>
    <row r="36" spans="1:26" ht="15.75" customHeight="1" x14ac:dyDescent="0.3"/>
    <row r="37" spans="1:26" ht="15.75" customHeight="1" x14ac:dyDescent="0.3">
      <c r="A37" s="7" t="str">
        <f>'02 Acts - Data'!C20</f>
        <v>Представитель Южного РЭС АО "ОЭК" ____________________</v>
      </c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 t="str">
        <f>'02 Acts - Data'!C21</f>
        <v>Начальник участка ООО «Резонанс-Энерго» ______________________Борков Е.А</v>
      </c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>
      <c r="A41" s="7"/>
      <c r="C41" s="7"/>
      <c r="D41" s="7"/>
      <c r="E41" s="7"/>
      <c r="F41" s="7"/>
      <c r="G41" s="7"/>
      <c r="H41" s="7"/>
      <c r="I41" s="7"/>
    </row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5">
    <mergeCell ref="D22:F22"/>
    <mergeCell ref="E24:J24"/>
    <mergeCell ref="D26:F26"/>
    <mergeCell ref="D28:F28"/>
    <mergeCell ref="A30:K30"/>
    <mergeCell ref="A7:K7"/>
    <mergeCell ref="E14:G14"/>
    <mergeCell ref="E17:G17"/>
    <mergeCell ref="C18:H18"/>
    <mergeCell ref="E20:F20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W72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3" max="3" width="9.109375" customWidth="1"/>
    <col min="4" max="4" width="1.5546875" customWidth="1"/>
    <col min="5" max="5" width="9.109375" customWidth="1"/>
    <col min="6" max="6" width="7.6640625" customWidth="1"/>
    <col min="7" max="7" width="13.109375" customWidth="1"/>
    <col min="8" max="8" width="7.21875" customWidth="1"/>
    <col min="9" max="9" width="24" customWidth="1"/>
    <col min="10" max="10" width="10.109375" customWidth="1"/>
    <col min="11" max="11" width="31.109375" customWidth="1"/>
    <col min="12" max="12" width="9.109375" customWidth="1"/>
  </cols>
  <sheetData>
    <row r="1" spans="1:257" ht="13.5" customHeight="1" x14ac:dyDescent="0.3">
      <c r="A1" s="27"/>
      <c r="B1" s="19" t="s">
        <v>57</v>
      </c>
      <c r="C1" s="20" t="str">
        <f>'02 Acts - Data'!B14</f>
        <v>ГКУ «УДМС»</v>
      </c>
      <c r="D1" s="20"/>
      <c r="E1" s="20"/>
      <c r="F1" s="23"/>
      <c r="G1" s="21"/>
      <c r="H1" s="20"/>
      <c r="I1" s="20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</row>
    <row r="2" spans="1:257" ht="13.5" customHeight="1" x14ac:dyDescent="0.3">
      <c r="A2" s="27"/>
      <c r="B2" s="19" t="s">
        <v>75</v>
      </c>
      <c r="C2" s="20" t="str">
        <f>'02 Acts - Data'!B15</f>
        <v>ООО «Резонанс-Энерго»</v>
      </c>
      <c r="D2" s="20"/>
      <c r="E2" s="20"/>
      <c r="F2" s="23"/>
      <c r="G2" s="21"/>
      <c r="H2" s="20"/>
      <c r="I2" s="20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</row>
    <row r="3" spans="1:257" ht="59.25" customHeight="1" x14ac:dyDescent="0.3">
      <c r="A3" s="27"/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59"/>
      <c r="K3" s="59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</row>
    <row r="4" spans="1:257" ht="13.5" customHeight="1" x14ac:dyDescent="0.3">
      <c r="A4" s="27"/>
      <c r="B4" s="22" t="s">
        <v>60</v>
      </c>
      <c r="C4" s="141" t="str">
        <f>'02 Acts - Data'!B11</f>
        <v>03.06.2024 г.</v>
      </c>
      <c r="D4" s="141"/>
      <c r="E4" s="141"/>
      <c r="F4" s="22"/>
      <c r="G4" s="142"/>
      <c r="H4" s="142"/>
      <c r="I4" s="142"/>
      <c r="J4" s="24"/>
      <c r="K4" s="24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spans="1:257" ht="15.75" customHeight="1" x14ac:dyDescent="0.3"/>
    <row r="6" spans="1:257" ht="15.75" customHeight="1" x14ac:dyDescent="0.3">
      <c r="A6" s="111" t="s">
        <v>158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57" ht="15.75" customHeight="1" x14ac:dyDescent="0.3">
      <c r="A7" s="111" t="s">
        <v>159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</row>
    <row r="8" spans="1:257" ht="15.75" customHeight="1" x14ac:dyDescent="0.3">
      <c r="A8" s="27" t="s">
        <v>160</v>
      </c>
      <c r="B8" s="27"/>
      <c r="C8" s="29" t="str">
        <f>'02 Acts - Data'!B6</f>
        <v>ГНБ № 10-1С</v>
      </c>
      <c r="D8" s="27"/>
      <c r="E8" s="27"/>
      <c r="G8" s="27"/>
      <c r="H8" s="27"/>
      <c r="I8" s="27"/>
      <c r="J8" s="27"/>
      <c r="K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7" t="s">
        <v>161</v>
      </c>
      <c r="B9" s="60"/>
      <c r="C9" s="29" t="str">
        <f>'02 Acts - Data'!B5</f>
        <v>По адресу: г. Москва, ул. Кантемировская, д.60</v>
      </c>
      <c r="D9" s="60"/>
      <c r="E9" s="60"/>
      <c r="F9" s="60"/>
      <c r="G9" s="60"/>
      <c r="H9" s="60"/>
      <c r="I9" s="60"/>
      <c r="J9" s="60"/>
      <c r="K9" s="60"/>
    </row>
    <row r="10" spans="1:257" ht="15.75" customHeight="1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257" ht="15.75" customHeight="1" x14ac:dyDescent="0.3">
      <c r="A11" s="143" t="str">
        <f>'02 Acts - Data'!A31</f>
        <v>ГНБ № 10-1С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</row>
    <row r="12" spans="1:257" ht="15.75" customHeight="1" x14ac:dyDescent="0.3">
      <c r="A12" s="62" t="s">
        <v>162</v>
      </c>
      <c r="B12" s="144" t="s">
        <v>163</v>
      </c>
      <c r="C12" s="144"/>
      <c r="D12" s="144"/>
      <c r="E12" s="144"/>
      <c r="F12" s="144"/>
      <c r="G12" s="144"/>
      <c r="H12" s="144"/>
      <c r="I12" s="144"/>
      <c r="J12" s="61" t="s">
        <v>164</v>
      </c>
      <c r="K12" s="61" t="s">
        <v>165</v>
      </c>
    </row>
    <row r="13" spans="1:257" ht="29.25" customHeight="1" x14ac:dyDescent="0.3">
      <c r="A13" s="63">
        <v>1</v>
      </c>
      <c r="B13" s="64" t="s">
        <v>166</v>
      </c>
      <c r="C13" s="145" t="str">
        <f>'02 Acts - Data'!B26</f>
        <v>Труба "ПЭ тип "С" 110*6,3 техническая (L012) (паспорт  качества от 23.08.2021г.)</v>
      </c>
      <c r="D13" s="145"/>
      <c r="E13" s="145"/>
      <c r="F13" s="145"/>
      <c r="G13" s="145"/>
      <c r="H13" s="145"/>
      <c r="I13" s="145"/>
      <c r="J13" s="65" t="s">
        <v>167</v>
      </c>
      <c r="K13" s="66">
        <f>'02 Acts - Data'!E31</f>
        <v>85.92</v>
      </c>
    </row>
    <row r="14" spans="1:257" ht="15.75" customHeight="1" x14ac:dyDescent="0.3">
      <c r="A14" s="67">
        <v>2</v>
      </c>
      <c r="B14" s="146" t="s">
        <v>168</v>
      </c>
      <c r="C14" s="146"/>
      <c r="D14" s="146"/>
      <c r="E14" s="146"/>
      <c r="F14" s="146"/>
      <c r="G14" s="146"/>
      <c r="H14" s="146"/>
      <c r="I14" s="146"/>
      <c r="J14" s="68" t="s">
        <v>167</v>
      </c>
      <c r="K14" s="66">
        <f>K13</f>
        <v>85.92</v>
      </c>
    </row>
    <row r="15" spans="1:257" ht="13.5" customHeight="1" x14ac:dyDescent="0.3">
      <c r="A15" s="63">
        <v>3</v>
      </c>
      <c r="B15" s="69" t="s">
        <v>169</v>
      </c>
      <c r="C15" s="145" t="str">
        <f>'02 Acts - Data'!B27</f>
        <v xml:space="preserve"> d=110 мм.</v>
      </c>
      <c r="D15" s="145"/>
      <c r="E15" s="145"/>
      <c r="F15" s="145"/>
      <c r="G15" s="145"/>
      <c r="H15" s="145"/>
      <c r="I15" s="145"/>
      <c r="J15" s="65" t="s">
        <v>170</v>
      </c>
      <c r="K15" s="70">
        <f>'02 Acts - Data'!D31*2</f>
        <v>4</v>
      </c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57" ht="15.75" customHeight="1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25" ht="15.75" customHeight="1" x14ac:dyDescent="0.3">
      <c r="P17" s="112"/>
      <c r="Q17" s="112"/>
      <c r="R17" s="112"/>
      <c r="S17" s="112"/>
      <c r="T17" s="112"/>
      <c r="U17" s="112"/>
      <c r="V17" s="112"/>
      <c r="W17" s="112"/>
      <c r="X17" s="112"/>
      <c r="Y17" s="112"/>
    </row>
    <row r="18" spans="1:25" ht="15.75" customHeight="1" x14ac:dyDescent="0.3">
      <c r="A18" s="27"/>
      <c r="B18" s="27"/>
    </row>
    <row r="19" spans="1:25" ht="15.75" customHeigh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25" ht="15.75" customHeight="1" x14ac:dyDescent="0.3">
      <c r="A20" s="27" t="str">
        <f>'02 Acts - Data'!C23</f>
        <v xml:space="preserve"> 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25" ht="15.75" customHeight="1" x14ac:dyDescent="0.3">
      <c r="A21" s="27"/>
      <c r="B21" s="27"/>
    </row>
    <row r="22" spans="1:25" ht="15.75" customHeight="1" x14ac:dyDescent="0.3">
      <c r="A22" s="27" t="str">
        <f>'02 Acts - Data'!C21</f>
        <v>Начальник участка ООО «Резонанс-Энерго» ______________________Борков Е.А</v>
      </c>
      <c r="B22" s="27" t="str">
        <f>CONCATENATE("Строительство ",'02 Acts - Data'!B6," методом ГНБ")</f>
        <v>Строительство ГНБ № 10-1С методом ГНБ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25" ht="15.75" customHeight="1" x14ac:dyDescent="0.3">
      <c r="A23" s="27"/>
    </row>
    <row r="24" spans="1:25" ht="15.75" customHeight="1" x14ac:dyDescent="0.3">
      <c r="A24" s="27" t="str">
        <f>'02 Acts - Data'!C20</f>
        <v>Представитель Южного РЭС АО "ОЭК" ____________________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25" ht="15.75" customHeight="1" x14ac:dyDescent="0.3"/>
    <row r="26" spans="1:25" ht="15.75" customHeight="1" x14ac:dyDescent="0.3"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25" ht="15.75" customHeight="1" x14ac:dyDescent="0.3">
      <c r="A27" s="27"/>
      <c r="B27" s="27"/>
      <c r="C27" s="27"/>
      <c r="D27" s="27"/>
    </row>
    <row r="28" spans="1:25" ht="15.75" customHeight="1" x14ac:dyDescent="0.3"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25" ht="15.75" customHeight="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25" ht="15.75" customHeight="1" x14ac:dyDescent="0.3"/>
    <row r="31" spans="1:25" ht="15.75" customHeight="1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25" ht="15.75" customHeight="1" x14ac:dyDescent="0.3"/>
    <row r="33" spans="1:11" ht="15.75" customHeight="1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15.75" customHeight="1" x14ac:dyDescent="0.3"/>
    <row r="35" spans="1:11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ht="15.75" customHeight="1" x14ac:dyDescent="0.3"/>
    <row r="37" spans="1:11" ht="15.75" customHeight="1" x14ac:dyDescent="0.3"/>
    <row r="38" spans="1:11" ht="15.75" customHeight="1" x14ac:dyDescent="0.3"/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2">
    <mergeCell ref="P15:Z15"/>
    <mergeCell ref="P17:Y17"/>
    <mergeCell ref="A11:K11"/>
    <mergeCell ref="B12:I12"/>
    <mergeCell ref="C13:I13"/>
    <mergeCell ref="B14:I14"/>
    <mergeCell ref="C15:I15"/>
    <mergeCell ref="C3:I3"/>
    <mergeCell ref="C4:E4"/>
    <mergeCell ref="G4:I4"/>
    <mergeCell ref="A6:K6"/>
    <mergeCell ref="A7:K7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2570-0E2B-4D78-A5FD-0DCC6D37196F}">
  <sheetPr>
    <tabColor rgb="FF339966"/>
  </sheetPr>
  <dimension ref="A2:E8"/>
  <sheetViews>
    <sheetView zoomScaleNormal="100" workbookViewId="0"/>
  </sheetViews>
  <sheetFormatPr defaultColWidth="9" defaultRowHeight="12.75" customHeight="1" x14ac:dyDescent="0.25"/>
  <cols>
    <col min="1" max="1" width="15.6640625" style="71" customWidth="1"/>
    <col min="2" max="2" width="37.6640625" style="71" customWidth="1"/>
    <col min="3" max="16384" width="9" style="71"/>
  </cols>
  <sheetData>
    <row r="2" spans="1:5" ht="18" customHeight="1" x14ac:dyDescent="0.25">
      <c r="A2" s="71" t="s">
        <v>173</v>
      </c>
      <c r="B2" s="72"/>
      <c r="C2" s="73"/>
      <c r="D2" s="73"/>
      <c r="E2" s="73"/>
    </row>
    <row r="3" spans="1:5" ht="18" customHeight="1" x14ac:dyDescent="0.25">
      <c r="A3" s="71" t="s">
        <v>174</v>
      </c>
      <c r="B3" s="74"/>
      <c r="C3" s="73"/>
      <c r="D3" s="73"/>
      <c r="E3" s="73"/>
    </row>
    <row r="4" spans="1:5" ht="18" customHeight="1" x14ac:dyDescent="0.25">
      <c r="A4" s="71" t="s">
        <v>175</v>
      </c>
      <c r="B4" s="74">
        <f>C3*B3</f>
        <v>0</v>
      </c>
      <c r="C4" s="73"/>
      <c r="D4" s="73"/>
      <c r="E4" s="73"/>
    </row>
    <row r="5" spans="1:5" ht="18" customHeight="1" x14ac:dyDescent="0.25">
      <c r="A5" s="71" t="s">
        <v>6</v>
      </c>
      <c r="B5" s="75"/>
      <c r="C5" s="73"/>
      <c r="D5" s="73"/>
      <c r="E5" s="73"/>
    </row>
    <row r="6" spans="1:5" ht="18" customHeight="1" x14ac:dyDescent="0.25">
      <c r="A6" s="71" t="s">
        <v>176</v>
      </c>
      <c r="B6" s="73" t="str">
        <f>CONCATENATE(C6," ",D6," ",E6)</f>
        <v xml:space="preserve">  </v>
      </c>
      <c r="C6" s="73"/>
      <c r="D6" s="73"/>
      <c r="E6" s="73"/>
    </row>
    <row r="7" spans="1:5" ht="18" customHeight="1" x14ac:dyDescent="0.25">
      <c r="A7" s="71" t="s">
        <v>177</v>
      </c>
      <c r="B7" s="73" t="str">
        <f>CONCATENATE(C7," ",D7," ",E7)</f>
        <v xml:space="preserve">  </v>
      </c>
      <c r="C7" s="73"/>
      <c r="D7" s="73"/>
      <c r="E7" s="73"/>
    </row>
    <row r="8" spans="1:5" ht="18" customHeight="1" x14ac:dyDescent="0.25">
      <c r="A8" s="71" t="s">
        <v>178</v>
      </c>
      <c r="B8" s="73" t="str">
        <f>CONCATENATE(C8," ",D8," ",E8)</f>
        <v xml:space="preserve">  </v>
      </c>
      <c r="C8" s="73"/>
      <c r="D8" s="73"/>
      <c r="E8" s="7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A693-0FB3-4213-B01E-8238DE9961AB}">
  <sheetPr>
    <tabColor rgb="FF339966"/>
  </sheetPr>
  <dimension ref="A1:IW89"/>
  <sheetViews>
    <sheetView topLeftCell="A22" zoomScale="125" zoomScaleNormal="125" zoomScalePageLayoutView="130" workbookViewId="0"/>
  </sheetViews>
  <sheetFormatPr defaultColWidth="10.6640625" defaultRowHeight="15" customHeight="1" x14ac:dyDescent="0.25"/>
  <cols>
    <col min="1" max="31" width="2.77734375" style="75" customWidth="1"/>
    <col min="32" max="32" width="3" style="75" customWidth="1"/>
    <col min="33" max="51" width="2.77734375" style="75" customWidth="1"/>
    <col min="52" max="257" width="10.6640625" style="75"/>
    <col min="258" max="16384" width="10.6640625" style="71"/>
  </cols>
  <sheetData>
    <row r="1" spans="1:43" ht="12.75" customHeight="1" x14ac:dyDescent="0.25">
      <c r="AJ1" s="76" t="s">
        <v>179</v>
      </c>
    </row>
    <row r="2" spans="1:43" ht="11.25" customHeight="1" x14ac:dyDescent="0.25">
      <c r="AJ2" s="76" t="s">
        <v>180</v>
      </c>
    </row>
    <row r="3" spans="1:43" ht="12" customHeight="1" x14ac:dyDescent="0.25">
      <c r="A3" s="71" t="s">
        <v>181</v>
      </c>
      <c r="AJ3" s="77"/>
      <c r="AK3" s="77"/>
      <c r="AL3" s="77"/>
      <c r="AM3" s="77"/>
      <c r="AN3" s="77"/>
      <c r="AO3" s="77"/>
      <c r="AP3" s="77"/>
      <c r="AQ3" s="77"/>
    </row>
    <row r="4" spans="1:43" ht="29.25" customHeight="1" x14ac:dyDescent="0.25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</row>
    <row r="5" spans="1:43" ht="10.5" customHeight="1" x14ac:dyDescent="0.25">
      <c r="A5" s="156" t="s">
        <v>182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</row>
    <row r="6" spans="1:43" ht="23.25" customHeight="1" x14ac:dyDescent="0.25">
      <c r="A6" s="159" t="s">
        <v>183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</row>
    <row r="7" spans="1:43" ht="40.5" customHeight="1" x14ac:dyDescent="0.25">
      <c r="A7" s="157"/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</row>
    <row r="8" spans="1:43" ht="40.5" customHeight="1" x14ac:dyDescent="0.25">
      <c r="A8" s="156" t="s">
        <v>184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</row>
    <row r="9" spans="1:43" ht="12" customHeight="1" x14ac:dyDescent="0.25">
      <c r="A9" s="71" t="s">
        <v>185</v>
      </c>
    </row>
    <row r="10" spans="1:43" ht="51.75" customHeight="1" x14ac:dyDescent="0.25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</row>
    <row r="11" spans="1:43" ht="42" customHeight="1" x14ac:dyDescent="0.25">
      <c r="A11" s="156" t="s">
        <v>186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</row>
    <row r="12" spans="1:43" ht="15.75" customHeight="1" x14ac:dyDescent="0.25">
      <c r="A12" s="71" t="s">
        <v>187</v>
      </c>
    </row>
    <row r="13" spans="1:43" ht="43.5" customHeight="1" x14ac:dyDescent="0.25">
      <c r="A13" s="157"/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</row>
    <row r="14" spans="1:43" ht="27.75" customHeight="1" x14ac:dyDescent="0.25">
      <c r="A14" s="156" t="s">
        <v>188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</row>
    <row r="15" spans="1:43" ht="10.5" customHeight="1" x14ac:dyDescent="0.25">
      <c r="A15" s="163" t="s">
        <v>61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</row>
    <row r="16" spans="1:43" ht="12.75" customHeight="1" x14ac:dyDescent="0.25">
      <c r="A16" s="164" t="s">
        <v>189</v>
      </c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</row>
    <row r="17" spans="1:257" ht="3.75" customHeight="1" x14ac:dyDescent="0.3">
      <c r="A17" s="78"/>
      <c r="B17" s="78"/>
      <c r="C17" s="78"/>
      <c r="D17" s="78"/>
      <c r="E17" s="78"/>
      <c r="F17" s="78"/>
      <c r="G17" s="78"/>
      <c r="H17" s="78"/>
      <c r="I17" s="78"/>
      <c r="J17" s="78"/>
    </row>
    <row r="18" spans="1:257" ht="12.75" customHeight="1" x14ac:dyDescent="0.3">
      <c r="A18" s="79"/>
      <c r="B18" s="79" t="s">
        <v>190</v>
      </c>
      <c r="C18" s="162" t="str">
        <f>CONCATENATE("1 (ЗП ГНБ №",[1]Лист1!B2,")")</f>
        <v>1 (ЗП ГНБ №)</v>
      </c>
      <c r="D18" s="162"/>
      <c r="E18" s="162"/>
      <c r="F18" s="162"/>
      <c r="G18" s="162"/>
      <c r="H18" s="162"/>
      <c r="I18" s="162"/>
      <c r="J18" s="162"/>
      <c r="K18" s="162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80" t="s">
        <v>191</v>
      </c>
      <c r="Y18" s="147">
        <f>[1]Лист1!C6</f>
        <v>0</v>
      </c>
      <c r="Z18" s="147"/>
      <c r="AA18" s="71" t="s">
        <v>191</v>
      </c>
      <c r="AB18" s="147">
        <f>[1]Лист1!D6</f>
        <v>0</v>
      </c>
      <c r="AC18" s="147"/>
      <c r="AD18" s="147"/>
      <c r="AE18" s="147"/>
      <c r="AF18" s="71"/>
      <c r="AG18" s="147">
        <f>[1]Лист1!E6</f>
        <v>0</v>
      </c>
      <c r="AH18" s="147"/>
      <c r="AI18" s="147"/>
      <c r="AJ18" s="71" t="s">
        <v>192</v>
      </c>
    </row>
    <row r="19" spans="1:257" ht="9.75" customHeight="1" x14ac:dyDescent="0.25">
      <c r="Y19" s="81"/>
      <c r="Z19" s="82" t="s">
        <v>193</v>
      </c>
      <c r="AA19" s="81"/>
      <c r="AB19" s="81"/>
      <c r="AC19" s="81"/>
      <c r="AD19" s="81"/>
      <c r="AE19" s="81"/>
      <c r="AF19" s="81"/>
      <c r="AG19" s="81"/>
      <c r="AH19" s="81"/>
    </row>
    <row r="20" spans="1:257" ht="3" customHeight="1" x14ac:dyDescent="0.25"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 spans="1:257" ht="24.75" customHeight="1" x14ac:dyDescent="0.25">
      <c r="A21" s="159" t="s">
        <v>194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</row>
    <row r="22" spans="1:257" ht="27" customHeight="1" x14ac:dyDescent="0.25">
      <c r="A22" s="160"/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</row>
    <row r="23" spans="1:257" ht="23.25" customHeight="1" x14ac:dyDescent="0.25">
      <c r="A23" s="161" t="s">
        <v>195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Q23" s="83" t="s">
        <v>196</v>
      </c>
    </row>
    <row r="24" spans="1:257" ht="12" customHeight="1" x14ac:dyDescent="0.25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Q24" s="83" t="s">
        <v>197</v>
      </c>
    </row>
    <row r="25" spans="1:257" ht="42" customHeight="1" x14ac:dyDescent="0.25">
      <c r="A25" s="156" t="s">
        <v>198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</row>
    <row r="26" spans="1:257" ht="12" customHeight="1" x14ac:dyDescent="0.25">
      <c r="A26" s="71" t="s">
        <v>199</v>
      </c>
    </row>
    <row r="27" spans="1:257" ht="33.75" customHeight="1" x14ac:dyDescent="0.25">
      <c r="A27" s="157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</row>
    <row r="28" spans="1:257" ht="9" customHeight="1" x14ac:dyDescent="0.25">
      <c r="A28" s="156" t="s">
        <v>200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</row>
    <row r="29" spans="1:257" ht="24.75" customHeight="1" x14ac:dyDescent="0.25">
      <c r="A29" s="159" t="s">
        <v>201</v>
      </c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</row>
    <row r="30" spans="1:257" ht="33.75" customHeight="1" x14ac:dyDescent="0.25">
      <c r="A30" s="157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</row>
    <row r="31" spans="1:257" ht="34.5" customHeight="1" x14ac:dyDescent="0.25">
      <c r="A31" s="156" t="s">
        <v>202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</row>
    <row r="32" spans="1:257" ht="48" customHeight="1" x14ac:dyDescent="0.25">
      <c r="A32" s="151" t="s">
        <v>203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</row>
    <row r="33" spans="1:257" ht="15" customHeight="1" x14ac:dyDescent="0.25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84"/>
      <c r="HX33" s="84"/>
      <c r="HY33" s="84"/>
      <c r="HZ33" s="84"/>
      <c r="IA33" s="84"/>
      <c r="IB33" s="84"/>
      <c r="IC33" s="84"/>
      <c r="ID33" s="84"/>
      <c r="IE33" s="84"/>
      <c r="IF33" s="84"/>
      <c r="IG33" s="84"/>
      <c r="IH33" s="84"/>
      <c r="II33" s="84"/>
      <c r="IJ33" s="84"/>
      <c r="IK33" s="84"/>
      <c r="IL33" s="84"/>
      <c r="IM33" s="84"/>
      <c r="IN33" s="84"/>
      <c r="IO33" s="84"/>
      <c r="IP33" s="84"/>
      <c r="IQ33" s="84"/>
      <c r="IR33" s="84"/>
      <c r="IS33" s="84"/>
      <c r="IT33" s="84"/>
      <c r="IU33" s="84"/>
      <c r="IV33" s="84"/>
      <c r="IW33" s="84"/>
    </row>
    <row r="34" spans="1:257" ht="21" customHeight="1" x14ac:dyDescent="0.25">
      <c r="A34" s="156" t="s">
        <v>204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</row>
    <row r="35" spans="1:257" ht="39.75" customHeight="1" x14ac:dyDescent="0.25">
      <c r="A35" s="151" t="s">
        <v>205</v>
      </c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</row>
    <row r="36" spans="1:257" ht="15" customHeight="1" x14ac:dyDescent="0.25">
      <c r="A36" s="158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</row>
    <row r="37" spans="1:257" ht="16.5" customHeight="1" x14ac:dyDescent="0.25">
      <c r="A37" s="148" t="s">
        <v>206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</row>
    <row r="38" spans="1:257" ht="12.75" customHeight="1" x14ac:dyDescent="0.25">
      <c r="A38" s="85" t="s">
        <v>207</v>
      </c>
    </row>
    <row r="39" spans="1:257" ht="12" customHeight="1" x14ac:dyDescent="0.25">
      <c r="A39" s="152" t="str">
        <f>CONCATENATE("Закрытого перехода методом ГНБ №",[1]Лист1!B2," по адресу: ",[1]Лист1!B5,)</f>
        <v xml:space="preserve">Закрытого перехода методом ГНБ № по адресу: </v>
      </c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</row>
    <row r="40" spans="1:257" ht="12" customHeight="1" x14ac:dyDescent="0.25">
      <c r="A40" s="85" t="s">
        <v>208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</row>
    <row r="41" spans="1:257" ht="34.5" customHeight="1" x14ac:dyDescent="0.25">
      <c r="A41" s="157">
        <f>A4</f>
        <v>0</v>
      </c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</row>
    <row r="42" spans="1:257" ht="10.5" customHeight="1" x14ac:dyDescent="0.25">
      <c r="A42" s="156" t="s">
        <v>209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</row>
    <row r="43" spans="1:257" ht="12" customHeight="1" x14ac:dyDescent="0.25">
      <c r="A43" s="85" t="s">
        <v>210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/>
      <c r="HS43" s="84"/>
      <c r="HT43" s="84"/>
      <c r="HU43" s="84"/>
      <c r="HV43" s="84"/>
      <c r="HW43" s="84"/>
      <c r="HX43" s="84"/>
      <c r="HY43" s="84"/>
      <c r="HZ43" s="84"/>
      <c r="IA43" s="84"/>
      <c r="IB43" s="84"/>
      <c r="IC43" s="84"/>
      <c r="ID43" s="84"/>
      <c r="IE43" s="84"/>
      <c r="IF43" s="84"/>
      <c r="IG43" s="84"/>
      <c r="IH43" s="84"/>
      <c r="II43" s="84"/>
      <c r="IJ43" s="84"/>
      <c r="IK43" s="84"/>
      <c r="IL43" s="84"/>
      <c r="IM43" s="84"/>
      <c r="IN43" s="84"/>
      <c r="IO43" s="84"/>
      <c r="IP43" s="84"/>
      <c r="IQ43" s="84"/>
      <c r="IR43" s="84"/>
      <c r="IS43" s="84"/>
      <c r="IT43" s="84"/>
      <c r="IU43" s="84"/>
      <c r="IV43" s="84"/>
      <c r="IW43" s="84"/>
    </row>
    <row r="44" spans="1:257" ht="13.5" customHeight="1" x14ac:dyDescent="0.25">
      <c r="A44" s="88" t="s">
        <v>211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/>
      <c r="HS44" s="84"/>
      <c r="HT44" s="84"/>
      <c r="HU44" s="84"/>
      <c r="HV44" s="84"/>
      <c r="HW44" s="84"/>
      <c r="HX44" s="84"/>
      <c r="HY44" s="84"/>
      <c r="HZ44" s="84"/>
      <c r="IA44" s="84"/>
      <c r="IB44" s="84"/>
      <c r="IC44" s="84"/>
      <c r="ID44" s="84"/>
      <c r="IE44" s="84"/>
      <c r="IF44" s="84"/>
      <c r="IG44" s="84"/>
      <c r="IH44" s="84"/>
      <c r="II44" s="84"/>
      <c r="IJ44" s="84"/>
      <c r="IK44" s="84"/>
      <c r="IL44" s="84"/>
      <c r="IM44" s="84"/>
      <c r="IN44" s="84"/>
      <c r="IO44" s="84"/>
      <c r="IP44" s="84"/>
      <c r="IQ44" s="84"/>
      <c r="IR44" s="84"/>
      <c r="IS44" s="84"/>
      <c r="IT44" s="84"/>
      <c r="IU44" s="84"/>
      <c r="IV44" s="84"/>
      <c r="IW44" s="84"/>
    </row>
    <row r="45" spans="1:257" ht="13.5" customHeight="1" x14ac:dyDescent="0.2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/>
      <c r="HS45" s="84"/>
      <c r="HT45" s="84"/>
      <c r="HU45" s="84"/>
      <c r="HV45" s="84"/>
      <c r="HW45" s="84"/>
      <c r="HX45" s="84"/>
      <c r="HY45" s="84"/>
      <c r="HZ45" s="84"/>
      <c r="IA45" s="84"/>
      <c r="IB45" s="84"/>
      <c r="IC45" s="84"/>
      <c r="ID45" s="84"/>
      <c r="IE45" s="84"/>
      <c r="IF45" s="84"/>
      <c r="IG45" s="84"/>
      <c r="IH45" s="84"/>
      <c r="II45" s="84"/>
      <c r="IJ45" s="84"/>
      <c r="IK45" s="84"/>
      <c r="IL45" s="84"/>
      <c r="IM45" s="84"/>
      <c r="IN45" s="84"/>
      <c r="IO45" s="84"/>
      <c r="IP45" s="84"/>
      <c r="IQ45" s="84"/>
      <c r="IR45" s="84"/>
      <c r="IS45" s="84"/>
      <c r="IT45" s="84"/>
      <c r="IU45" s="84"/>
      <c r="IV45" s="84"/>
      <c r="IW45" s="84"/>
    </row>
    <row r="46" spans="1:257" ht="8.25" customHeight="1" x14ac:dyDescent="0.25">
      <c r="A46" s="156" t="s">
        <v>212</v>
      </c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</row>
    <row r="47" spans="1:257" ht="13.5" customHeight="1" x14ac:dyDescent="0.25">
      <c r="A47" s="87" t="s">
        <v>213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152" t="s">
        <v>214</v>
      </c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7"/>
      <c r="DW47" s="87"/>
      <c r="DX47" s="87"/>
      <c r="DY47" s="87"/>
      <c r="DZ47" s="87"/>
      <c r="EA47" s="87"/>
      <c r="EB47" s="87"/>
      <c r="EC47" s="87"/>
      <c r="ED47" s="87"/>
      <c r="EE47" s="87"/>
      <c r="EF47" s="87"/>
      <c r="EG47" s="87"/>
      <c r="EH47" s="87"/>
      <c r="EI47" s="87"/>
      <c r="EJ47" s="87"/>
      <c r="EK47" s="87"/>
      <c r="EL47" s="87"/>
      <c r="EM47" s="87"/>
      <c r="EN47" s="87"/>
      <c r="EO47" s="87"/>
      <c r="EP47" s="87"/>
      <c r="EQ47" s="87"/>
      <c r="ER47" s="87"/>
      <c r="ES47" s="87"/>
      <c r="ET47" s="87"/>
      <c r="EU47" s="87"/>
      <c r="EV47" s="87"/>
      <c r="EW47" s="87"/>
      <c r="EX47" s="87"/>
      <c r="EY47" s="87"/>
      <c r="EZ47" s="87"/>
      <c r="FA47" s="87"/>
      <c r="FB47" s="87"/>
      <c r="FC47" s="87"/>
      <c r="FD47" s="87"/>
      <c r="FE47" s="87"/>
      <c r="FF47" s="87"/>
      <c r="FG47" s="87"/>
      <c r="FH47" s="87"/>
      <c r="FI47" s="87"/>
      <c r="FJ47" s="87"/>
      <c r="FK47" s="87"/>
      <c r="FL47" s="87"/>
      <c r="FM47" s="87"/>
      <c r="FN47" s="87"/>
      <c r="FO47" s="87"/>
      <c r="FP47" s="87"/>
      <c r="FQ47" s="87"/>
      <c r="FR47" s="87"/>
      <c r="FS47" s="87"/>
      <c r="FT47" s="87"/>
      <c r="FU47" s="87"/>
      <c r="FV47" s="87"/>
      <c r="FW47" s="87"/>
      <c r="FX47" s="87"/>
      <c r="FY47" s="87"/>
      <c r="FZ47" s="87"/>
      <c r="GA47" s="87"/>
      <c r="GB47" s="87"/>
      <c r="GC47" s="87"/>
      <c r="GD47" s="87"/>
      <c r="GE47" s="87"/>
      <c r="GF47" s="87"/>
      <c r="GG47" s="87"/>
      <c r="GH47" s="87"/>
      <c r="GI47" s="87"/>
      <c r="GJ47" s="87"/>
      <c r="GK47" s="87"/>
      <c r="GL47" s="87"/>
      <c r="GM47" s="87"/>
      <c r="GN47" s="87"/>
      <c r="GO47" s="87"/>
      <c r="GP47" s="87"/>
      <c r="GQ47" s="87"/>
      <c r="GR47" s="87"/>
      <c r="GS47" s="87"/>
      <c r="GT47" s="87"/>
      <c r="GU47" s="87"/>
      <c r="GV47" s="87"/>
      <c r="GW47" s="87"/>
      <c r="GX47" s="87"/>
      <c r="GY47" s="87"/>
      <c r="GZ47" s="87"/>
      <c r="HA47" s="87"/>
      <c r="HB47" s="87"/>
      <c r="HC47" s="87"/>
      <c r="HD47" s="87"/>
      <c r="HE47" s="87"/>
      <c r="HF47" s="87"/>
      <c r="HG47" s="87"/>
      <c r="HH47" s="87"/>
      <c r="HI47" s="87"/>
      <c r="HJ47" s="87"/>
      <c r="HK47" s="87"/>
      <c r="HL47" s="87"/>
      <c r="HM47" s="87"/>
      <c r="HN47" s="87"/>
      <c r="HO47" s="87"/>
      <c r="HP47" s="87"/>
      <c r="HQ47" s="87"/>
      <c r="HR47" s="87"/>
      <c r="HS47" s="87"/>
      <c r="HT47" s="87"/>
      <c r="HU47" s="87"/>
      <c r="HV47" s="87"/>
      <c r="HW47" s="87"/>
      <c r="HX47" s="87"/>
      <c r="HY47" s="87"/>
      <c r="HZ47" s="87"/>
      <c r="IA47" s="87"/>
      <c r="IB47" s="87"/>
      <c r="IC47" s="87"/>
      <c r="ID47" s="87"/>
      <c r="IE47" s="87"/>
      <c r="IF47" s="87"/>
      <c r="IG47" s="87"/>
      <c r="IH47" s="87"/>
      <c r="II47" s="87"/>
      <c r="IJ47" s="87"/>
      <c r="IK47" s="87"/>
      <c r="IL47" s="87"/>
      <c r="IM47" s="87"/>
      <c r="IN47" s="87"/>
      <c r="IO47" s="87"/>
      <c r="IP47" s="87"/>
      <c r="IQ47" s="87"/>
      <c r="IR47" s="87"/>
      <c r="IS47" s="87"/>
      <c r="IT47" s="87"/>
      <c r="IU47" s="87"/>
      <c r="IV47" s="87"/>
      <c r="IW47" s="87"/>
    </row>
    <row r="48" spans="1:257" ht="12" customHeight="1" x14ac:dyDescent="0.25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  <c r="CI48" s="87"/>
      <c r="CJ48" s="87"/>
      <c r="CK48" s="87"/>
      <c r="CL48" s="87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7"/>
      <c r="CY48" s="87"/>
      <c r="CZ48" s="87"/>
      <c r="DA48" s="87"/>
      <c r="DB48" s="87"/>
      <c r="DC48" s="87"/>
      <c r="DD48" s="87"/>
      <c r="DE48" s="87"/>
      <c r="DF48" s="87"/>
      <c r="DG48" s="87"/>
      <c r="DH48" s="87"/>
      <c r="DI48" s="87"/>
      <c r="DJ48" s="87"/>
      <c r="DK48" s="87"/>
      <c r="DL48" s="87"/>
      <c r="DM48" s="87"/>
      <c r="DN48" s="87"/>
      <c r="DO48" s="87"/>
      <c r="DP48" s="87"/>
      <c r="DQ48" s="87"/>
      <c r="DR48" s="87"/>
      <c r="DS48" s="87"/>
      <c r="DT48" s="87"/>
      <c r="DU48" s="87"/>
      <c r="DV48" s="87"/>
      <c r="DW48" s="87"/>
      <c r="DX48" s="87"/>
      <c r="DY48" s="87"/>
      <c r="DZ48" s="87"/>
      <c r="EA48" s="87"/>
      <c r="EB48" s="87"/>
      <c r="EC48" s="87"/>
      <c r="ED48" s="87"/>
      <c r="EE48" s="87"/>
      <c r="EF48" s="87"/>
      <c r="EG48" s="87"/>
      <c r="EH48" s="87"/>
      <c r="EI48" s="87"/>
      <c r="EJ48" s="87"/>
      <c r="EK48" s="87"/>
      <c r="EL48" s="87"/>
      <c r="EM48" s="87"/>
      <c r="EN48" s="87"/>
      <c r="EO48" s="87"/>
      <c r="EP48" s="87"/>
      <c r="EQ48" s="87"/>
      <c r="ER48" s="87"/>
      <c r="ES48" s="87"/>
      <c r="ET48" s="87"/>
      <c r="EU48" s="87"/>
      <c r="EV48" s="87"/>
      <c r="EW48" s="87"/>
      <c r="EX48" s="87"/>
      <c r="EY48" s="87"/>
      <c r="EZ48" s="87"/>
      <c r="FA48" s="87"/>
      <c r="FB48" s="87"/>
      <c r="FC48" s="87"/>
      <c r="FD48" s="87"/>
      <c r="FE48" s="87"/>
      <c r="FF48" s="87"/>
      <c r="FG48" s="87"/>
      <c r="FH48" s="87"/>
      <c r="FI48" s="87"/>
      <c r="FJ48" s="87"/>
      <c r="FK48" s="87"/>
      <c r="FL48" s="87"/>
      <c r="FM48" s="87"/>
      <c r="FN48" s="87"/>
      <c r="FO48" s="87"/>
      <c r="FP48" s="87"/>
      <c r="FQ48" s="87"/>
      <c r="FR48" s="87"/>
      <c r="FS48" s="87"/>
      <c r="FT48" s="87"/>
      <c r="FU48" s="87"/>
      <c r="FV48" s="87"/>
      <c r="FW48" s="87"/>
      <c r="FX48" s="87"/>
      <c r="FY48" s="87"/>
      <c r="FZ48" s="87"/>
      <c r="GA48" s="87"/>
      <c r="GB48" s="87"/>
      <c r="GC48" s="87"/>
      <c r="GD48" s="87"/>
      <c r="GE48" s="87"/>
      <c r="GF48" s="87"/>
      <c r="GG48" s="87"/>
      <c r="GH48" s="87"/>
      <c r="GI48" s="87"/>
      <c r="GJ48" s="87"/>
      <c r="GK48" s="87"/>
      <c r="GL48" s="87"/>
      <c r="GM48" s="87"/>
      <c r="GN48" s="87"/>
      <c r="GO48" s="87"/>
      <c r="GP48" s="87"/>
      <c r="GQ48" s="87"/>
      <c r="GR48" s="87"/>
      <c r="GS48" s="87"/>
      <c r="GT48" s="87"/>
      <c r="GU48" s="87"/>
      <c r="GV48" s="87"/>
      <c r="GW48" s="87"/>
      <c r="GX48" s="87"/>
      <c r="GY48" s="87"/>
      <c r="GZ48" s="87"/>
      <c r="HA48" s="87"/>
      <c r="HB48" s="87"/>
      <c r="HC48" s="87"/>
      <c r="HD48" s="87"/>
      <c r="HE48" s="87"/>
      <c r="HF48" s="87"/>
      <c r="HG48" s="87"/>
      <c r="HH48" s="87"/>
      <c r="HI48" s="87"/>
      <c r="HJ48" s="87"/>
      <c r="HK48" s="87"/>
      <c r="HL48" s="87"/>
      <c r="HM48" s="87"/>
      <c r="HN48" s="87"/>
      <c r="HO48" s="87"/>
      <c r="HP48" s="87"/>
      <c r="HQ48" s="87"/>
      <c r="HR48" s="87"/>
      <c r="HS48" s="87"/>
      <c r="HT48" s="87"/>
      <c r="HU48" s="87"/>
      <c r="HV48" s="87"/>
      <c r="HW48" s="87"/>
      <c r="HX48" s="87"/>
      <c r="HY48" s="87"/>
      <c r="HZ48" s="87"/>
      <c r="IA48" s="87"/>
      <c r="IB48" s="87"/>
      <c r="IC48" s="87"/>
      <c r="ID48" s="87"/>
      <c r="IE48" s="87"/>
      <c r="IF48" s="87"/>
      <c r="IG48" s="87"/>
      <c r="IH48" s="87"/>
      <c r="II48" s="87"/>
      <c r="IJ48" s="87"/>
      <c r="IK48" s="87"/>
      <c r="IL48" s="87"/>
      <c r="IM48" s="87"/>
      <c r="IN48" s="87"/>
      <c r="IO48" s="87"/>
      <c r="IP48" s="87"/>
      <c r="IQ48" s="87"/>
      <c r="IR48" s="87"/>
      <c r="IS48" s="87"/>
      <c r="IT48" s="87"/>
      <c r="IU48" s="87"/>
      <c r="IV48" s="87"/>
      <c r="IW48" s="87"/>
    </row>
    <row r="49" spans="1:257" ht="12" customHeight="1" x14ac:dyDescent="0.25">
      <c r="A49" s="71" t="s">
        <v>215</v>
      </c>
      <c r="B49" s="87"/>
      <c r="C49" s="87"/>
      <c r="D49" s="87"/>
      <c r="E49" s="87"/>
      <c r="F49" s="89"/>
      <c r="G49" s="89"/>
      <c r="H49" s="89"/>
      <c r="I49" s="89"/>
      <c r="J49" s="89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7"/>
      <c r="CY49" s="87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7"/>
      <c r="DK49" s="87"/>
      <c r="DL49" s="87"/>
      <c r="DM49" s="87"/>
      <c r="DN49" s="87"/>
      <c r="DO49" s="87"/>
      <c r="DP49" s="87"/>
      <c r="DQ49" s="87"/>
      <c r="DR49" s="87"/>
      <c r="DS49" s="87"/>
      <c r="DT49" s="87"/>
      <c r="DU49" s="87"/>
      <c r="DV49" s="87"/>
      <c r="DW49" s="87"/>
      <c r="DX49" s="87"/>
      <c r="DY49" s="87"/>
      <c r="DZ49" s="87"/>
      <c r="EA49" s="87"/>
      <c r="EB49" s="87"/>
      <c r="EC49" s="87"/>
      <c r="ED49" s="87"/>
      <c r="EE49" s="87"/>
      <c r="EF49" s="87"/>
      <c r="EG49" s="87"/>
      <c r="EH49" s="87"/>
      <c r="EI49" s="87"/>
      <c r="EJ49" s="87"/>
      <c r="EK49" s="87"/>
      <c r="EL49" s="87"/>
      <c r="EM49" s="87"/>
      <c r="EN49" s="87"/>
      <c r="EO49" s="87"/>
      <c r="EP49" s="87"/>
      <c r="EQ49" s="87"/>
      <c r="ER49" s="87"/>
      <c r="ES49" s="87"/>
      <c r="ET49" s="87"/>
      <c r="EU49" s="87"/>
      <c r="EV49" s="87"/>
      <c r="EW49" s="87"/>
      <c r="EX49" s="87"/>
      <c r="EY49" s="87"/>
      <c r="EZ49" s="87"/>
      <c r="FA49" s="87"/>
      <c r="FB49" s="87"/>
      <c r="FC49" s="87"/>
      <c r="FD49" s="87"/>
      <c r="FE49" s="87"/>
      <c r="FF49" s="87"/>
      <c r="FG49" s="87"/>
      <c r="FH49" s="87"/>
      <c r="FI49" s="87"/>
      <c r="FJ49" s="87"/>
      <c r="FK49" s="87"/>
      <c r="FL49" s="87"/>
      <c r="FM49" s="87"/>
      <c r="FN49" s="87"/>
      <c r="FO49" s="87"/>
      <c r="FP49" s="87"/>
      <c r="FQ49" s="87"/>
      <c r="FR49" s="87"/>
      <c r="FS49" s="87"/>
      <c r="FT49" s="87"/>
      <c r="FU49" s="87"/>
      <c r="FV49" s="87"/>
      <c r="FW49" s="87"/>
      <c r="FX49" s="87"/>
      <c r="FY49" s="87"/>
      <c r="FZ49" s="87"/>
      <c r="GA49" s="87"/>
      <c r="GB49" s="87"/>
      <c r="GC49" s="87"/>
      <c r="GD49" s="87"/>
      <c r="GE49" s="87"/>
      <c r="GF49" s="87"/>
      <c r="GG49" s="87"/>
      <c r="GH49" s="87"/>
      <c r="GI49" s="87"/>
      <c r="GJ49" s="87"/>
      <c r="GK49" s="87"/>
      <c r="GL49" s="87"/>
      <c r="GM49" s="87"/>
      <c r="GN49" s="87"/>
      <c r="GO49" s="87"/>
      <c r="GP49" s="87"/>
      <c r="GQ49" s="87"/>
      <c r="GR49" s="87"/>
      <c r="GS49" s="87"/>
      <c r="GT49" s="87"/>
      <c r="GU49" s="87"/>
      <c r="GV49" s="87"/>
      <c r="GW49" s="87"/>
      <c r="GX49" s="87"/>
      <c r="GY49" s="87"/>
      <c r="GZ49" s="87"/>
      <c r="HA49" s="87"/>
      <c r="HB49" s="87"/>
      <c r="HC49" s="87"/>
      <c r="HD49" s="87"/>
      <c r="HE49" s="87"/>
      <c r="HF49" s="87"/>
      <c r="HG49" s="87"/>
      <c r="HH49" s="87"/>
      <c r="HI49" s="87"/>
      <c r="HJ49" s="87"/>
      <c r="HK49" s="87"/>
      <c r="HL49" s="87"/>
      <c r="HM49" s="87"/>
      <c r="HN49" s="87"/>
      <c r="HO49" s="87"/>
      <c r="HP49" s="87"/>
      <c r="HQ49" s="87"/>
      <c r="HR49" s="87"/>
      <c r="HS49" s="87"/>
      <c r="HT49" s="87"/>
      <c r="HU49" s="87"/>
      <c r="HV49" s="87"/>
      <c r="HW49" s="87"/>
      <c r="HX49" s="87"/>
      <c r="HY49" s="87"/>
      <c r="HZ49" s="87"/>
      <c r="IA49" s="87"/>
      <c r="IB49" s="87"/>
      <c r="IC49" s="87"/>
      <c r="ID49" s="87"/>
      <c r="IE49" s="87"/>
      <c r="IF49" s="87"/>
      <c r="IG49" s="87"/>
      <c r="IH49" s="87"/>
      <c r="II49" s="87"/>
      <c r="IJ49" s="87"/>
      <c r="IK49" s="87"/>
      <c r="IL49" s="87"/>
      <c r="IM49" s="87"/>
      <c r="IN49" s="87"/>
      <c r="IO49" s="87"/>
      <c r="IP49" s="87"/>
      <c r="IQ49" s="87"/>
      <c r="IR49" s="87"/>
      <c r="IS49" s="87"/>
      <c r="IT49" s="87"/>
      <c r="IU49" s="87"/>
      <c r="IV49" s="87"/>
      <c r="IW49" s="87"/>
    </row>
    <row r="50" spans="1:257" ht="12" customHeight="1" x14ac:dyDescent="0.25">
      <c r="A50" s="71"/>
      <c r="B50" s="84"/>
      <c r="C50" s="84"/>
      <c r="D50" s="84"/>
      <c r="E50" s="84"/>
      <c r="F50" s="90"/>
      <c r="G50" s="90"/>
      <c r="H50" s="90"/>
      <c r="I50" s="90"/>
      <c r="J50" s="90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</row>
    <row r="51" spans="1:257" ht="38.25" customHeight="1" x14ac:dyDescent="0.25">
      <c r="A51" s="159" t="s">
        <v>216</v>
      </c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7"/>
      <c r="DW51" s="87"/>
      <c r="DX51" s="87"/>
      <c r="DY51" s="87"/>
      <c r="DZ51" s="87"/>
      <c r="EA51" s="87"/>
      <c r="EB51" s="87"/>
      <c r="EC51" s="87"/>
      <c r="ED51" s="87"/>
      <c r="EE51" s="87"/>
      <c r="EF51" s="87"/>
      <c r="EG51" s="87"/>
      <c r="EH51" s="87"/>
      <c r="EI51" s="87"/>
      <c r="EJ51" s="87"/>
      <c r="EK51" s="87"/>
      <c r="EL51" s="87"/>
      <c r="EM51" s="87"/>
      <c r="EN51" s="87"/>
      <c r="EO51" s="87"/>
      <c r="EP51" s="87"/>
      <c r="EQ51" s="87"/>
      <c r="ER51" s="87"/>
      <c r="ES51" s="87"/>
      <c r="ET51" s="87"/>
      <c r="EU51" s="87"/>
      <c r="EV51" s="87"/>
      <c r="EW51" s="87"/>
      <c r="EX51" s="87"/>
      <c r="EY51" s="87"/>
      <c r="EZ51" s="87"/>
      <c r="FA51" s="87"/>
      <c r="FB51" s="87"/>
      <c r="FC51" s="87"/>
      <c r="FD51" s="87"/>
      <c r="FE51" s="87"/>
      <c r="FF51" s="87"/>
      <c r="FG51" s="87"/>
      <c r="FH51" s="87"/>
      <c r="FI51" s="87"/>
      <c r="FJ51" s="87"/>
      <c r="FK51" s="87"/>
      <c r="FL51" s="87"/>
      <c r="FM51" s="87"/>
      <c r="FN51" s="87"/>
      <c r="FO51" s="87"/>
      <c r="FP51" s="87"/>
      <c r="FQ51" s="87"/>
      <c r="FR51" s="87"/>
      <c r="FS51" s="87"/>
      <c r="FT51" s="87"/>
      <c r="FU51" s="87"/>
      <c r="FV51" s="87"/>
      <c r="FW51" s="87"/>
      <c r="FX51" s="87"/>
      <c r="FY51" s="87"/>
      <c r="FZ51" s="87"/>
      <c r="GA51" s="87"/>
      <c r="GB51" s="87"/>
      <c r="GC51" s="87"/>
      <c r="GD51" s="87"/>
      <c r="GE51" s="87"/>
      <c r="GF51" s="87"/>
      <c r="GG51" s="87"/>
      <c r="GH51" s="87"/>
      <c r="GI51" s="87"/>
      <c r="GJ51" s="87"/>
      <c r="GK51" s="87"/>
      <c r="GL51" s="87"/>
      <c r="GM51" s="87"/>
      <c r="GN51" s="87"/>
      <c r="GO51" s="87"/>
      <c r="GP51" s="87"/>
      <c r="GQ51" s="87"/>
      <c r="GR51" s="87"/>
      <c r="GS51" s="87"/>
      <c r="GT51" s="87"/>
      <c r="GU51" s="87"/>
      <c r="GV51" s="87"/>
      <c r="GW51" s="87"/>
      <c r="GX51" s="87"/>
      <c r="GY51" s="87"/>
      <c r="GZ51" s="87"/>
      <c r="HA51" s="87"/>
      <c r="HB51" s="87"/>
      <c r="HC51" s="87"/>
      <c r="HD51" s="87"/>
      <c r="HE51" s="87"/>
      <c r="HF51" s="87"/>
      <c r="HG51" s="87"/>
      <c r="HH51" s="87"/>
      <c r="HI51" s="87"/>
      <c r="HJ51" s="87"/>
      <c r="HK51" s="87"/>
      <c r="HL51" s="87"/>
      <c r="HM51" s="87"/>
      <c r="HN51" s="87"/>
      <c r="HO51" s="87"/>
      <c r="HP51" s="87"/>
      <c r="HQ51" s="87"/>
      <c r="HR51" s="87"/>
      <c r="HS51" s="87"/>
      <c r="HT51" s="87"/>
      <c r="HU51" s="87"/>
      <c r="HV51" s="87"/>
      <c r="HW51" s="87"/>
      <c r="HX51" s="87"/>
      <c r="HY51" s="87"/>
      <c r="HZ51" s="87"/>
      <c r="IA51" s="87"/>
      <c r="IB51" s="87"/>
      <c r="IC51" s="87"/>
      <c r="ID51" s="87"/>
      <c r="IE51" s="87"/>
      <c r="IF51" s="87"/>
      <c r="IG51" s="87"/>
      <c r="IH51" s="87"/>
      <c r="II51" s="87"/>
      <c r="IJ51" s="87"/>
      <c r="IK51" s="87"/>
      <c r="IL51" s="87"/>
      <c r="IM51" s="87"/>
      <c r="IN51" s="87"/>
      <c r="IO51" s="87"/>
      <c r="IP51" s="87"/>
      <c r="IQ51" s="87"/>
      <c r="IR51" s="87"/>
      <c r="IS51" s="87"/>
      <c r="IT51" s="87"/>
      <c r="IU51" s="87"/>
      <c r="IV51" s="87"/>
      <c r="IW51" s="87"/>
    </row>
    <row r="52" spans="1:257" ht="52.5" customHeight="1" x14ac:dyDescent="0.25">
      <c r="A52" s="157" t="str">
        <f>CONCATENATE(A45,", ",A41)</f>
        <v>, 0</v>
      </c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7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7"/>
      <c r="CY52" s="87"/>
      <c r="CZ52" s="87"/>
      <c r="DA52" s="87"/>
      <c r="DB52" s="87"/>
      <c r="DC52" s="87"/>
      <c r="DD52" s="87"/>
      <c r="DE52" s="87"/>
      <c r="DF52" s="87"/>
      <c r="DG52" s="87"/>
      <c r="DH52" s="87"/>
      <c r="DI52" s="87"/>
      <c r="DJ52" s="87"/>
      <c r="DK52" s="87"/>
      <c r="DL52" s="87"/>
      <c r="DM52" s="87"/>
      <c r="DN52" s="87"/>
      <c r="DO52" s="87"/>
      <c r="DP52" s="87"/>
      <c r="DQ52" s="87"/>
      <c r="DR52" s="87"/>
      <c r="DS52" s="87"/>
      <c r="DT52" s="87"/>
      <c r="DU52" s="87"/>
      <c r="DV52" s="87"/>
      <c r="DW52" s="87"/>
      <c r="DX52" s="87"/>
      <c r="DY52" s="87"/>
      <c r="DZ52" s="87"/>
      <c r="EA52" s="87"/>
      <c r="EB52" s="87"/>
      <c r="EC52" s="87"/>
      <c r="ED52" s="87"/>
      <c r="EE52" s="87"/>
      <c r="EF52" s="87"/>
      <c r="EG52" s="87"/>
      <c r="EH52" s="87"/>
      <c r="EI52" s="87"/>
      <c r="EJ52" s="87"/>
      <c r="EK52" s="87"/>
      <c r="EL52" s="87"/>
      <c r="EM52" s="87"/>
      <c r="EN52" s="87"/>
      <c r="EO52" s="87"/>
      <c r="EP52" s="87"/>
      <c r="EQ52" s="87"/>
      <c r="ER52" s="87"/>
      <c r="ES52" s="87"/>
      <c r="ET52" s="87"/>
      <c r="EU52" s="87"/>
      <c r="EV52" s="87"/>
      <c r="EW52" s="87"/>
      <c r="EX52" s="87"/>
      <c r="EY52" s="87"/>
      <c r="EZ52" s="87"/>
      <c r="FA52" s="87"/>
      <c r="FB52" s="87"/>
      <c r="FC52" s="87"/>
      <c r="FD52" s="87"/>
      <c r="FE52" s="87"/>
      <c r="FF52" s="87"/>
      <c r="FG52" s="87"/>
      <c r="FH52" s="87"/>
      <c r="FI52" s="87"/>
      <c r="FJ52" s="87"/>
      <c r="FK52" s="87"/>
      <c r="FL52" s="87"/>
      <c r="FM52" s="87"/>
      <c r="FN52" s="87"/>
      <c r="FO52" s="87"/>
      <c r="FP52" s="87"/>
      <c r="FQ52" s="87"/>
      <c r="FR52" s="87"/>
      <c r="FS52" s="87"/>
      <c r="FT52" s="87"/>
      <c r="FU52" s="87"/>
      <c r="FV52" s="87"/>
      <c r="FW52" s="87"/>
      <c r="FX52" s="87"/>
      <c r="FY52" s="87"/>
      <c r="FZ52" s="87"/>
      <c r="GA52" s="87"/>
      <c r="GB52" s="87"/>
      <c r="GC52" s="87"/>
      <c r="GD52" s="87"/>
      <c r="GE52" s="87"/>
      <c r="GF52" s="87"/>
      <c r="GG52" s="87"/>
      <c r="GH52" s="87"/>
      <c r="GI52" s="87"/>
      <c r="GJ52" s="87"/>
      <c r="GK52" s="87"/>
      <c r="GL52" s="87"/>
      <c r="GM52" s="87"/>
      <c r="GN52" s="87"/>
      <c r="GO52" s="87"/>
      <c r="GP52" s="87"/>
      <c r="GQ52" s="87"/>
      <c r="GR52" s="87"/>
      <c r="GS52" s="87"/>
      <c r="GT52" s="87"/>
      <c r="GU52" s="87"/>
      <c r="GV52" s="87"/>
      <c r="GW52" s="87"/>
      <c r="GX52" s="87"/>
      <c r="GY52" s="87"/>
      <c r="GZ52" s="87"/>
      <c r="HA52" s="87"/>
      <c r="HB52" s="87"/>
      <c r="HC52" s="87"/>
      <c r="HD52" s="87"/>
      <c r="HE52" s="87"/>
      <c r="HF52" s="87"/>
      <c r="HG52" s="87"/>
      <c r="HH52" s="87"/>
      <c r="HI52" s="87"/>
      <c r="HJ52" s="87"/>
      <c r="HK52" s="87"/>
      <c r="HL52" s="87"/>
      <c r="HM52" s="87"/>
      <c r="HN52" s="87"/>
      <c r="HO52" s="87"/>
      <c r="HP52" s="87"/>
      <c r="HQ52" s="87"/>
      <c r="HR52" s="87"/>
      <c r="HS52" s="87"/>
      <c r="HT52" s="87"/>
      <c r="HU52" s="87"/>
      <c r="HV52" s="87"/>
      <c r="HW52" s="87"/>
      <c r="HX52" s="87"/>
      <c r="HY52" s="87"/>
      <c r="HZ52" s="87"/>
      <c r="IA52" s="87"/>
      <c r="IB52" s="87"/>
      <c r="IC52" s="87"/>
      <c r="ID52" s="87"/>
      <c r="IE52" s="87"/>
      <c r="IF52" s="87"/>
      <c r="IG52" s="87"/>
      <c r="IH52" s="87"/>
      <c r="II52" s="87"/>
      <c r="IJ52" s="87"/>
      <c r="IK52" s="87"/>
      <c r="IL52" s="87"/>
      <c r="IM52" s="87"/>
      <c r="IN52" s="87"/>
      <c r="IO52" s="87"/>
      <c r="IP52" s="87"/>
      <c r="IQ52" s="87"/>
      <c r="IR52" s="87"/>
      <c r="IS52" s="87"/>
      <c r="IT52" s="87"/>
      <c r="IU52" s="87"/>
      <c r="IV52" s="87"/>
      <c r="IW52" s="87"/>
    </row>
    <row r="53" spans="1:257" ht="8.25" customHeight="1" x14ac:dyDescent="0.25">
      <c r="A53" s="149" t="s">
        <v>217</v>
      </c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7"/>
      <c r="DW53" s="87"/>
      <c r="DX53" s="87"/>
      <c r="DY53" s="87"/>
      <c r="DZ53" s="87"/>
      <c r="EA53" s="87"/>
      <c r="EB53" s="87"/>
      <c r="EC53" s="87"/>
      <c r="ED53" s="87"/>
      <c r="EE53" s="87"/>
      <c r="EF53" s="87"/>
      <c r="EG53" s="87"/>
      <c r="EH53" s="87"/>
      <c r="EI53" s="87"/>
      <c r="EJ53" s="87"/>
      <c r="EK53" s="87"/>
      <c r="EL53" s="87"/>
      <c r="EM53" s="87"/>
      <c r="EN53" s="87"/>
      <c r="EO53" s="87"/>
      <c r="EP53" s="87"/>
      <c r="EQ53" s="87"/>
      <c r="ER53" s="87"/>
      <c r="ES53" s="87"/>
      <c r="ET53" s="87"/>
      <c r="EU53" s="87"/>
      <c r="EV53" s="87"/>
      <c r="EW53" s="87"/>
      <c r="EX53" s="87"/>
      <c r="EY53" s="87"/>
      <c r="EZ53" s="87"/>
      <c r="FA53" s="87"/>
      <c r="FB53" s="87"/>
      <c r="FC53" s="87"/>
      <c r="FD53" s="87"/>
      <c r="FE53" s="87"/>
      <c r="FF53" s="87"/>
      <c r="FG53" s="87"/>
      <c r="FH53" s="87"/>
      <c r="FI53" s="87"/>
      <c r="FJ53" s="87"/>
      <c r="FK53" s="87"/>
      <c r="FL53" s="87"/>
      <c r="FM53" s="87"/>
      <c r="FN53" s="87"/>
      <c r="FO53" s="87"/>
      <c r="FP53" s="87"/>
      <c r="FQ53" s="87"/>
      <c r="FR53" s="87"/>
      <c r="FS53" s="87"/>
      <c r="FT53" s="87"/>
      <c r="FU53" s="87"/>
      <c r="FV53" s="87"/>
      <c r="FW53" s="87"/>
      <c r="FX53" s="87"/>
      <c r="FY53" s="87"/>
      <c r="FZ53" s="87"/>
      <c r="GA53" s="87"/>
      <c r="GB53" s="87"/>
      <c r="GC53" s="87"/>
      <c r="GD53" s="87"/>
      <c r="GE53" s="87"/>
      <c r="GF53" s="87"/>
      <c r="GG53" s="87"/>
      <c r="GH53" s="87"/>
      <c r="GI53" s="87"/>
      <c r="GJ53" s="87"/>
      <c r="GK53" s="87"/>
      <c r="GL53" s="87"/>
      <c r="GM53" s="87"/>
      <c r="GN53" s="87"/>
      <c r="GO53" s="87"/>
      <c r="GP53" s="87"/>
      <c r="GQ53" s="87"/>
      <c r="GR53" s="87"/>
      <c r="GS53" s="87"/>
      <c r="GT53" s="87"/>
      <c r="GU53" s="87"/>
      <c r="GV53" s="87"/>
      <c r="GW53" s="87"/>
      <c r="GX53" s="87"/>
      <c r="GY53" s="87"/>
      <c r="GZ53" s="87"/>
      <c r="HA53" s="87"/>
      <c r="HB53" s="87"/>
      <c r="HC53" s="87"/>
      <c r="HD53" s="87"/>
      <c r="HE53" s="87"/>
      <c r="HF53" s="87"/>
      <c r="HG53" s="87"/>
      <c r="HH53" s="87"/>
      <c r="HI53" s="87"/>
      <c r="HJ53" s="87"/>
      <c r="HK53" s="87"/>
      <c r="HL53" s="87"/>
      <c r="HM53" s="87"/>
      <c r="HN53" s="87"/>
      <c r="HO53" s="87"/>
      <c r="HP53" s="87"/>
      <c r="HQ53" s="87"/>
      <c r="HR53" s="87"/>
      <c r="HS53" s="87"/>
      <c r="HT53" s="87"/>
      <c r="HU53" s="87"/>
      <c r="HV53" s="87"/>
      <c r="HW53" s="87"/>
      <c r="HX53" s="87"/>
      <c r="HY53" s="87"/>
      <c r="HZ53" s="87"/>
      <c r="IA53" s="87"/>
      <c r="IB53" s="87"/>
      <c r="IC53" s="87"/>
      <c r="ID53" s="87"/>
      <c r="IE53" s="87"/>
      <c r="IF53" s="87"/>
      <c r="IG53" s="87"/>
      <c r="IH53" s="87"/>
      <c r="II53" s="87"/>
      <c r="IJ53" s="87"/>
      <c r="IK53" s="87"/>
      <c r="IL53" s="87"/>
      <c r="IM53" s="87"/>
      <c r="IN53" s="87"/>
      <c r="IO53" s="87"/>
      <c r="IP53" s="87"/>
      <c r="IQ53" s="87"/>
      <c r="IR53" s="87"/>
      <c r="IS53" s="87"/>
      <c r="IT53" s="87"/>
      <c r="IU53" s="87"/>
      <c r="IV53" s="87"/>
      <c r="IW53" s="87"/>
    </row>
    <row r="54" spans="1:257" ht="12" customHeight="1" x14ac:dyDescent="0.25">
      <c r="A54" s="152" t="s">
        <v>218</v>
      </c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7"/>
      <c r="CY54" s="87"/>
      <c r="CZ54" s="87"/>
      <c r="DA54" s="87"/>
      <c r="DB54" s="87"/>
      <c r="DC54" s="87"/>
      <c r="DD54" s="87"/>
      <c r="DE54" s="87"/>
      <c r="DF54" s="87"/>
      <c r="DG54" s="87"/>
      <c r="DH54" s="87"/>
      <c r="DI54" s="87"/>
      <c r="DJ54" s="87"/>
      <c r="DK54" s="87"/>
      <c r="DL54" s="87"/>
      <c r="DM54" s="87"/>
      <c r="DN54" s="87"/>
      <c r="DO54" s="87"/>
      <c r="DP54" s="87"/>
      <c r="DQ54" s="87"/>
      <c r="DR54" s="87"/>
      <c r="DS54" s="87"/>
      <c r="DT54" s="87"/>
      <c r="DU54" s="87"/>
      <c r="DV54" s="87"/>
      <c r="DW54" s="87"/>
      <c r="DX54" s="87"/>
      <c r="DY54" s="87"/>
      <c r="DZ54" s="87"/>
      <c r="EA54" s="87"/>
      <c r="EB54" s="87"/>
      <c r="EC54" s="87"/>
      <c r="ED54" s="87"/>
      <c r="EE54" s="87"/>
      <c r="EF54" s="87"/>
      <c r="EG54" s="87"/>
      <c r="EH54" s="87"/>
      <c r="EI54" s="87"/>
      <c r="EJ54" s="87"/>
      <c r="EK54" s="87"/>
      <c r="EL54" s="87"/>
      <c r="EM54" s="87"/>
      <c r="EN54" s="87"/>
      <c r="EO54" s="87"/>
      <c r="EP54" s="87"/>
      <c r="EQ54" s="87"/>
      <c r="ER54" s="87"/>
      <c r="ES54" s="87"/>
      <c r="ET54" s="87"/>
      <c r="EU54" s="87"/>
      <c r="EV54" s="87"/>
      <c r="EW54" s="87"/>
      <c r="EX54" s="87"/>
      <c r="EY54" s="87"/>
      <c r="EZ54" s="87"/>
      <c r="FA54" s="87"/>
      <c r="FB54" s="87"/>
      <c r="FC54" s="87"/>
      <c r="FD54" s="87"/>
      <c r="FE54" s="87"/>
      <c r="FF54" s="87"/>
      <c r="FG54" s="87"/>
      <c r="FH54" s="87"/>
      <c r="FI54" s="87"/>
      <c r="FJ54" s="87"/>
      <c r="FK54" s="87"/>
      <c r="FL54" s="87"/>
      <c r="FM54" s="87"/>
      <c r="FN54" s="87"/>
      <c r="FO54" s="87"/>
      <c r="FP54" s="87"/>
      <c r="FQ54" s="87"/>
      <c r="FR54" s="87"/>
      <c r="FS54" s="87"/>
      <c r="FT54" s="87"/>
      <c r="FU54" s="87"/>
      <c r="FV54" s="87"/>
      <c r="FW54" s="87"/>
      <c r="FX54" s="87"/>
      <c r="FY54" s="87"/>
      <c r="FZ54" s="87"/>
      <c r="GA54" s="87"/>
      <c r="GB54" s="87"/>
      <c r="GC54" s="87"/>
      <c r="GD54" s="87"/>
      <c r="GE54" s="87"/>
      <c r="GF54" s="87"/>
      <c r="GG54" s="87"/>
      <c r="GH54" s="87"/>
      <c r="GI54" s="87"/>
      <c r="GJ54" s="87"/>
      <c r="GK54" s="87"/>
      <c r="GL54" s="87"/>
      <c r="GM54" s="87"/>
      <c r="GN54" s="87"/>
      <c r="GO54" s="87"/>
      <c r="GP54" s="87"/>
      <c r="GQ54" s="87"/>
      <c r="GR54" s="87"/>
      <c r="GS54" s="87"/>
      <c r="GT54" s="87"/>
      <c r="GU54" s="87"/>
      <c r="GV54" s="87"/>
      <c r="GW54" s="87"/>
      <c r="GX54" s="87"/>
      <c r="GY54" s="87"/>
      <c r="GZ54" s="87"/>
      <c r="HA54" s="87"/>
      <c r="HB54" s="87"/>
      <c r="HC54" s="87"/>
      <c r="HD54" s="87"/>
      <c r="HE54" s="87"/>
      <c r="HF54" s="87"/>
      <c r="HG54" s="87"/>
      <c r="HH54" s="87"/>
      <c r="HI54" s="87"/>
      <c r="HJ54" s="87"/>
      <c r="HK54" s="87"/>
      <c r="HL54" s="87"/>
      <c r="HM54" s="87"/>
      <c r="HN54" s="87"/>
      <c r="HO54" s="87"/>
      <c r="HP54" s="87"/>
      <c r="HQ54" s="87"/>
      <c r="HR54" s="87"/>
      <c r="HS54" s="87"/>
      <c r="HT54" s="87"/>
      <c r="HU54" s="87"/>
      <c r="HV54" s="87"/>
      <c r="HW54" s="87"/>
      <c r="HX54" s="87"/>
      <c r="HY54" s="87"/>
      <c r="HZ54" s="87"/>
      <c r="IA54" s="87"/>
      <c r="IB54" s="87"/>
      <c r="IC54" s="87"/>
      <c r="ID54" s="87"/>
      <c r="IE54" s="87"/>
      <c r="IF54" s="87"/>
      <c r="IG54" s="87"/>
      <c r="IH54" s="87"/>
      <c r="II54" s="87"/>
      <c r="IJ54" s="87"/>
      <c r="IK54" s="87"/>
      <c r="IL54" s="87"/>
      <c r="IM54" s="87"/>
      <c r="IN54" s="87"/>
      <c r="IO54" s="87"/>
      <c r="IP54" s="87"/>
      <c r="IQ54" s="87"/>
      <c r="IR54" s="87"/>
      <c r="IS54" s="87"/>
      <c r="IT54" s="87"/>
      <c r="IU54" s="87"/>
      <c r="IV54" s="87"/>
      <c r="IW54" s="87"/>
    </row>
    <row r="55" spans="1:257" ht="8.25" customHeight="1" x14ac:dyDescent="0.25">
      <c r="A55" s="149" t="s">
        <v>219</v>
      </c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7"/>
      <c r="DW55" s="87"/>
      <c r="DX55" s="87"/>
      <c r="DY55" s="87"/>
      <c r="DZ55" s="87"/>
      <c r="EA55" s="87"/>
      <c r="EB55" s="87"/>
      <c r="EC55" s="87"/>
      <c r="ED55" s="87"/>
      <c r="EE55" s="87"/>
      <c r="EF55" s="87"/>
      <c r="EG55" s="87"/>
      <c r="EH55" s="87"/>
      <c r="EI55" s="87"/>
      <c r="EJ55" s="87"/>
      <c r="EK55" s="87"/>
      <c r="EL55" s="87"/>
      <c r="EM55" s="87"/>
      <c r="EN55" s="87"/>
      <c r="EO55" s="87"/>
      <c r="EP55" s="87"/>
      <c r="EQ55" s="87"/>
      <c r="ER55" s="87"/>
      <c r="ES55" s="87"/>
      <c r="ET55" s="87"/>
      <c r="EU55" s="87"/>
      <c r="EV55" s="87"/>
      <c r="EW55" s="87"/>
      <c r="EX55" s="87"/>
      <c r="EY55" s="87"/>
      <c r="EZ55" s="87"/>
      <c r="FA55" s="87"/>
      <c r="FB55" s="87"/>
      <c r="FC55" s="87"/>
      <c r="FD55" s="87"/>
      <c r="FE55" s="87"/>
      <c r="FF55" s="87"/>
      <c r="FG55" s="87"/>
      <c r="FH55" s="87"/>
      <c r="FI55" s="87"/>
      <c r="FJ55" s="87"/>
      <c r="FK55" s="87"/>
      <c r="FL55" s="87"/>
      <c r="FM55" s="87"/>
      <c r="FN55" s="87"/>
      <c r="FO55" s="87"/>
      <c r="FP55" s="87"/>
      <c r="FQ55" s="87"/>
      <c r="FR55" s="87"/>
      <c r="FS55" s="87"/>
      <c r="FT55" s="87"/>
      <c r="FU55" s="87"/>
      <c r="FV55" s="87"/>
      <c r="FW55" s="87"/>
      <c r="FX55" s="87"/>
      <c r="FY55" s="87"/>
      <c r="FZ55" s="87"/>
      <c r="GA55" s="87"/>
      <c r="GB55" s="87"/>
      <c r="GC55" s="87"/>
      <c r="GD55" s="87"/>
      <c r="GE55" s="87"/>
      <c r="GF55" s="87"/>
      <c r="GG55" s="87"/>
      <c r="GH55" s="87"/>
      <c r="GI55" s="87"/>
      <c r="GJ55" s="87"/>
      <c r="GK55" s="87"/>
      <c r="GL55" s="87"/>
      <c r="GM55" s="87"/>
      <c r="GN55" s="87"/>
      <c r="GO55" s="87"/>
      <c r="GP55" s="87"/>
      <c r="GQ55" s="87"/>
      <c r="GR55" s="87"/>
      <c r="GS55" s="87"/>
      <c r="GT55" s="87"/>
      <c r="GU55" s="87"/>
      <c r="GV55" s="87"/>
      <c r="GW55" s="87"/>
      <c r="GX55" s="87"/>
      <c r="GY55" s="87"/>
      <c r="GZ55" s="87"/>
      <c r="HA55" s="87"/>
      <c r="HB55" s="87"/>
      <c r="HC55" s="87"/>
      <c r="HD55" s="87"/>
      <c r="HE55" s="87"/>
      <c r="HF55" s="87"/>
      <c r="HG55" s="87"/>
      <c r="HH55" s="87"/>
      <c r="HI55" s="87"/>
      <c r="HJ55" s="87"/>
      <c r="HK55" s="87"/>
      <c r="HL55" s="87"/>
      <c r="HM55" s="87"/>
      <c r="HN55" s="87"/>
      <c r="HO55" s="87"/>
      <c r="HP55" s="87"/>
      <c r="HQ55" s="87"/>
      <c r="HR55" s="87"/>
      <c r="HS55" s="87"/>
      <c r="HT55" s="87"/>
      <c r="HU55" s="87"/>
      <c r="HV55" s="87"/>
      <c r="HW55" s="87"/>
      <c r="HX55" s="87"/>
      <c r="HY55" s="87"/>
      <c r="HZ55" s="87"/>
      <c r="IA55" s="87"/>
      <c r="IB55" s="87"/>
      <c r="IC55" s="87"/>
      <c r="ID55" s="87"/>
      <c r="IE55" s="87"/>
      <c r="IF55" s="87"/>
      <c r="IG55" s="87"/>
      <c r="IH55" s="87"/>
      <c r="II55" s="87"/>
      <c r="IJ55" s="87"/>
      <c r="IK55" s="87"/>
      <c r="IL55" s="87"/>
      <c r="IM55" s="87"/>
      <c r="IN55" s="87"/>
      <c r="IO55" s="87"/>
      <c r="IP55" s="87"/>
      <c r="IQ55" s="87"/>
      <c r="IR55" s="87"/>
      <c r="IS55" s="87"/>
      <c r="IT55" s="87"/>
      <c r="IU55" s="87"/>
      <c r="IV55" s="87"/>
      <c r="IW55" s="87"/>
    </row>
    <row r="56" spans="1:257" ht="13.5" customHeight="1" x14ac:dyDescent="0.25">
      <c r="A56" s="71" t="s">
        <v>220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</row>
    <row r="57" spans="1:257" ht="12" customHeight="1" x14ac:dyDescent="0.25">
      <c r="A57" s="91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</row>
    <row r="58" spans="1:257" ht="12" customHeight="1" x14ac:dyDescent="0.3">
      <c r="A58" s="71" t="s">
        <v>221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147" t="s">
        <v>222</v>
      </c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  <c r="EY58" s="71"/>
      <c r="EZ58" s="71"/>
      <c r="FA58" s="71"/>
      <c r="FB58" s="71"/>
      <c r="FC58" s="71"/>
      <c r="FD58" s="71"/>
      <c r="FE58" s="71"/>
      <c r="FF58" s="71"/>
      <c r="FG58" s="71"/>
      <c r="FH58" s="71"/>
      <c r="FI58" s="71"/>
      <c r="FJ58" s="71"/>
      <c r="FK58" s="71"/>
      <c r="FL58" s="71"/>
      <c r="FM58" s="71"/>
      <c r="FN58" s="71"/>
      <c r="FO58" s="71"/>
      <c r="FP58" s="71"/>
      <c r="FQ58" s="71"/>
      <c r="FR58" s="71"/>
      <c r="FS58" s="71"/>
      <c r="FT58" s="71"/>
      <c r="FU58" s="71"/>
      <c r="FV58" s="71"/>
      <c r="FW58" s="71"/>
      <c r="FX58" s="71"/>
      <c r="FY58" s="71"/>
      <c r="FZ58" s="71"/>
      <c r="GA58" s="71"/>
      <c r="GB58" s="71"/>
      <c r="GC58" s="71"/>
      <c r="GD58" s="71"/>
      <c r="GE58" s="71"/>
      <c r="GF58" s="71"/>
      <c r="GG58" s="71"/>
      <c r="GH58" s="71"/>
      <c r="GI58" s="71"/>
      <c r="GJ58" s="71"/>
      <c r="GK58" s="71"/>
      <c r="GL58" s="71"/>
      <c r="GM58" s="71"/>
      <c r="GN58" s="71"/>
      <c r="GO58" s="71"/>
      <c r="GP58" s="71"/>
      <c r="GQ58" s="71"/>
      <c r="GR58" s="71"/>
      <c r="GS58" s="71"/>
      <c r="GT58" s="71"/>
      <c r="GU58" s="71"/>
      <c r="GV58" s="71"/>
      <c r="GW58" s="71"/>
      <c r="GX58" s="71"/>
      <c r="GY58" s="71"/>
      <c r="GZ58" s="71"/>
      <c r="HA58" s="71"/>
      <c r="HB58" s="71"/>
      <c r="HC58" s="71"/>
      <c r="HD58" s="71"/>
      <c r="HE58" s="71"/>
      <c r="HF58" s="71"/>
      <c r="HG58" s="71"/>
      <c r="HH58" s="71"/>
      <c r="HI58" s="71"/>
      <c r="HJ58" s="71"/>
      <c r="HK58" s="71"/>
      <c r="HL58" s="71"/>
      <c r="HM58" s="71"/>
      <c r="HN58" s="71"/>
      <c r="HO58" s="71"/>
      <c r="HP58" s="71"/>
      <c r="HQ58" s="71"/>
      <c r="HR58" s="71"/>
      <c r="HS58" s="71"/>
      <c r="HT58" s="71"/>
      <c r="HU58" s="71"/>
      <c r="HV58" s="71"/>
      <c r="HW58" s="71"/>
      <c r="HX58" s="71"/>
      <c r="HY58" s="71"/>
      <c r="HZ58" s="71"/>
      <c r="IA58" s="71"/>
      <c r="IB58" s="71"/>
      <c r="IC58" s="71"/>
      <c r="ID58" s="71"/>
      <c r="IE58" s="71"/>
      <c r="IF58" s="71"/>
      <c r="IG58" s="71"/>
      <c r="IH58" s="71"/>
      <c r="II58" s="71"/>
      <c r="IJ58" s="71"/>
      <c r="IK58" s="71"/>
      <c r="IL58" s="71"/>
      <c r="IM58" s="71"/>
      <c r="IN58" s="71"/>
      <c r="IO58" s="71"/>
      <c r="IP58" s="71"/>
      <c r="IQ58" s="71"/>
      <c r="IR58" s="71"/>
      <c r="IS58" s="71"/>
      <c r="IT58" s="71"/>
      <c r="IU58" s="71"/>
      <c r="IV58" s="71"/>
      <c r="IW58" s="71"/>
    </row>
    <row r="59" spans="1:257" ht="6" customHeight="1" x14ac:dyDescent="0.25">
      <c r="D59" s="93"/>
      <c r="E59" s="93"/>
      <c r="F59" s="93"/>
      <c r="G59" s="93"/>
      <c r="H59" s="93"/>
      <c r="I59" s="93"/>
      <c r="J59" s="93"/>
    </row>
    <row r="60" spans="1:257" ht="12" customHeight="1" x14ac:dyDescent="0.25">
      <c r="A60" s="71" t="s">
        <v>223</v>
      </c>
      <c r="B60" s="71"/>
      <c r="C60" s="71"/>
      <c r="D60" s="71"/>
      <c r="E60" s="71"/>
      <c r="F60" s="71"/>
      <c r="G60" s="71"/>
      <c r="H60" s="153">
        <v>4</v>
      </c>
      <c r="I60" s="153"/>
      <c r="J60" s="71" t="s">
        <v>224</v>
      </c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  <c r="EY60" s="71"/>
      <c r="EZ60" s="71"/>
      <c r="FA60" s="71"/>
      <c r="FB60" s="71"/>
      <c r="FC60" s="71"/>
      <c r="FD60" s="71"/>
      <c r="FE60" s="71"/>
      <c r="FF60" s="71"/>
      <c r="FG60" s="71"/>
      <c r="FH60" s="71"/>
      <c r="FI60" s="71"/>
      <c r="FJ60" s="71"/>
      <c r="FK60" s="71"/>
      <c r="FL60" s="71"/>
      <c r="FM60" s="71"/>
      <c r="FN60" s="71"/>
      <c r="FO60" s="71"/>
      <c r="FP60" s="71"/>
      <c r="FQ60" s="71"/>
      <c r="FR60" s="71"/>
      <c r="FS60" s="71"/>
      <c r="FT60" s="71"/>
      <c r="FU60" s="71"/>
      <c r="FV60" s="71"/>
      <c r="FW60" s="71"/>
      <c r="FX60" s="71"/>
      <c r="FY60" s="71"/>
      <c r="FZ60" s="71"/>
      <c r="GA60" s="71"/>
      <c r="GB60" s="71"/>
      <c r="GC60" s="71"/>
      <c r="GD60" s="71"/>
      <c r="GE60" s="71"/>
      <c r="GF60" s="71"/>
      <c r="GG60" s="71"/>
      <c r="GH60" s="71"/>
      <c r="GI60" s="71"/>
      <c r="GJ60" s="71"/>
      <c r="GK60" s="71"/>
      <c r="GL60" s="71"/>
      <c r="GM60" s="71"/>
      <c r="GN60" s="71"/>
      <c r="GO60" s="71"/>
      <c r="GP60" s="71"/>
      <c r="GQ60" s="71"/>
      <c r="GR60" s="71"/>
      <c r="GS60" s="71"/>
      <c r="GT60" s="71"/>
      <c r="GU60" s="71"/>
      <c r="GV60" s="71"/>
      <c r="GW60" s="71"/>
      <c r="GX60" s="71"/>
      <c r="GY60" s="71"/>
      <c r="GZ60" s="71"/>
      <c r="HA60" s="71"/>
      <c r="HB60" s="71"/>
      <c r="HC60" s="71"/>
      <c r="HD60" s="71"/>
      <c r="HE60" s="71"/>
      <c r="HF60" s="71"/>
      <c r="HG60" s="71"/>
      <c r="HH60" s="71"/>
      <c r="HI60" s="71"/>
      <c r="HJ60" s="71"/>
      <c r="HK60" s="71"/>
      <c r="HL60" s="71"/>
      <c r="HM60" s="71"/>
      <c r="HN60" s="71"/>
      <c r="HO60" s="71"/>
      <c r="HP60" s="71"/>
      <c r="HQ60" s="71"/>
      <c r="HR60" s="71"/>
      <c r="HS60" s="71"/>
      <c r="HT60" s="71"/>
      <c r="HU60" s="71"/>
      <c r="HV60" s="71"/>
      <c r="HW60" s="71"/>
      <c r="HX60" s="71"/>
      <c r="HY60" s="71"/>
      <c r="HZ60" s="71"/>
      <c r="IA60" s="71"/>
      <c r="IB60" s="71"/>
      <c r="IC60" s="71"/>
      <c r="ID60" s="71"/>
      <c r="IE60" s="71"/>
      <c r="IF60" s="71"/>
      <c r="IG60" s="71"/>
      <c r="IH60" s="71"/>
      <c r="II60" s="71"/>
      <c r="IJ60" s="71"/>
      <c r="IK60" s="71"/>
      <c r="IL60" s="71"/>
      <c r="IM60" s="71"/>
      <c r="IN60" s="71"/>
      <c r="IO60" s="71"/>
      <c r="IP60" s="71"/>
      <c r="IQ60" s="71"/>
      <c r="IR60" s="71"/>
      <c r="IS60" s="71"/>
      <c r="IT60" s="71"/>
      <c r="IU60" s="71"/>
      <c r="IV60" s="71"/>
      <c r="IW60" s="71"/>
    </row>
    <row r="61" spans="1:257" ht="4.5" customHeight="1" x14ac:dyDescent="0.25"/>
    <row r="62" spans="1:257" ht="12" customHeight="1" x14ac:dyDescent="0.25">
      <c r="A62" s="71" t="s">
        <v>225</v>
      </c>
    </row>
    <row r="63" spans="1:257" ht="12" customHeight="1" x14ac:dyDescent="0.25">
      <c r="A63" s="154" t="str">
        <f>'[1]АОСР (2)'!A64:AJ64</f>
        <v>1. Исполнительный чертеж ЗП № (по адресу: )</v>
      </c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</row>
    <row r="64" spans="1:257" ht="12" customHeight="1" x14ac:dyDescent="0.25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</row>
    <row r="65" spans="1:257" ht="9.75" customHeight="1" x14ac:dyDescent="0.25">
      <c r="A65" s="155" t="s">
        <v>226</v>
      </c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</row>
    <row r="66" spans="1:257" ht="4.5" customHeight="1" x14ac:dyDescent="0.2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</row>
    <row r="67" spans="1:257" ht="8.25" customHeight="1" x14ac:dyDescent="0.25">
      <c r="A67" s="156" t="s">
        <v>227</v>
      </c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</row>
    <row r="68" spans="1:257" ht="13.5" customHeight="1" x14ac:dyDescent="0.25">
      <c r="A68" s="71" t="s">
        <v>228</v>
      </c>
    </row>
    <row r="69" spans="1:257" ht="12" customHeight="1" x14ac:dyDescent="0.25">
      <c r="A69" s="71" t="s">
        <v>229</v>
      </c>
    </row>
    <row r="70" spans="1:257" ht="35.25" customHeight="1" x14ac:dyDescent="0.3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147"/>
      <c r="AC70" s="147"/>
      <c r="AD70" s="147"/>
      <c r="AE70" s="147"/>
      <c r="AF70" s="147"/>
      <c r="AG70" s="147"/>
      <c r="AH70" s="147"/>
      <c r="AI70" s="147"/>
      <c r="AJ70" s="147"/>
    </row>
    <row r="71" spans="1:257" ht="10.5" customHeight="1" x14ac:dyDescent="0.25">
      <c r="A71" s="148" t="s">
        <v>230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96"/>
      <c r="Q71" s="96"/>
      <c r="R71" s="96"/>
      <c r="S71" s="96"/>
      <c r="T71" s="96"/>
      <c r="U71" s="97"/>
      <c r="V71" s="97"/>
      <c r="W71" s="97"/>
      <c r="X71" s="97"/>
      <c r="Y71" s="97"/>
      <c r="Z71" s="97"/>
      <c r="AA71" s="97"/>
      <c r="AB71" s="149" t="s">
        <v>231</v>
      </c>
      <c r="AC71" s="149"/>
      <c r="AD71" s="149"/>
      <c r="AE71" s="149"/>
      <c r="AF71" s="149"/>
      <c r="AG71" s="149"/>
      <c r="AH71" s="149"/>
      <c r="AI71" s="149"/>
      <c r="AJ71" s="149"/>
    </row>
    <row r="72" spans="1:257" ht="11.25" customHeight="1" x14ac:dyDescent="0.25">
      <c r="A72" s="151" t="s">
        <v>232</v>
      </c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</row>
    <row r="73" spans="1:257" ht="33" customHeight="1" x14ac:dyDescent="0.3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8"/>
      <c r="AC73" s="98"/>
      <c r="AD73" s="98"/>
      <c r="AE73" s="98"/>
      <c r="AF73" s="98"/>
      <c r="AG73" s="98"/>
      <c r="AH73" s="98"/>
      <c r="AI73" s="98"/>
      <c r="AJ73" s="98"/>
    </row>
    <row r="74" spans="1:257" ht="9.75" customHeight="1" x14ac:dyDescent="0.25">
      <c r="A74" s="148" t="s">
        <v>230</v>
      </c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96"/>
      <c r="Q74" s="96"/>
      <c r="R74" s="96"/>
      <c r="S74" s="96"/>
      <c r="T74" s="96"/>
      <c r="U74" s="97"/>
      <c r="V74" s="97"/>
      <c r="W74" s="97"/>
      <c r="X74" s="97"/>
      <c r="Y74" s="97"/>
      <c r="Z74" s="97"/>
      <c r="AA74" s="97"/>
      <c r="AB74" s="149" t="s">
        <v>231</v>
      </c>
      <c r="AC74" s="149"/>
      <c r="AD74" s="149"/>
      <c r="AE74" s="149"/>
      <c r="AF74" s="149"/>
      <c r="AG74" s="149"/>
      <c r="AH74" s="149"/>
      <c r="AI74" s="149"/>
      <c r="AJ74" s="149"/>
    </row>
    <row r="75" spans="1:257" ht="10.5" customHeight="1" x14ac:dyDescent="0.25">
      <c r="A75" s="99" t="s">
        <v>199</v>
      </c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</row>
    <row r="76" spans="1:257" ht="24.75" customHeight="1" x14ac:dyDescent="0.3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147"/>
      <c r="AC76" s="147"/>
      <c r="AD76" s="147"/>
      <c r="AE76" s="147"/>
      <c r="AF76" s="147"/>
      <c r="AG76" s="147"/>
      <c r="AH76" s="147"/>
      <c r="AI76" s="147"/>
      <c r="AJ76" s="147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  <c r="CZ76" s="99"/>
      <c r="DA76" s="99"/>
      <c r="DB76" s="99"/>
      <c r="DC76" s="99"/>
      <c r="DD76" s="99"/>
      <c r="DE76" s="99"/>
      <c r="DF76" s="99"/>
      <c r="DG76" s="99"/>
      <c r="DH76" s="99"/>
      <c r="DI76" s="99"/>
      <c r="DJ76" s="99"/>
      <c r="DK76" s="99"/>
      <c r="DL76" s="99"/>
      <c r="DM76" s="99"/>
      <c r="DN76" s="99"/>
      <c r="DO76" s="99"/>
      <c r="DP76" s="99"/>
      <c r="DQ76" s="99"/>
      <c r="DR76" s="99"/>
      <c r="DS76" s="99"/>
      <c r="DT76" s="99"/>
      <c r="DU76" s="99"/>
      <c r="DV76" s="99"/>
      <c r="DW76" s="99"/>
      <c r="DX76" s="99"/>
      <c r="DY76" s="99"/>
      <c r="DZ76" s="99"/>
      <c r="EA76" s="99"/>
      <c r="EB76" s="99"/>
      <c r="EC76" s="99"/>
      <c r="ED76" s="99"/>
      <c r="EE76" s="99"/>
      <c r="EF76" s="99"/>
      <c r="EG76" s="99"/>
      <c r="EH76" s="99"/>
      <c r="EI76" s="99"/>
      <c r="EJ76" s="99"/>
      <c r="EK76" s="99"/>
      <c r="EL76" s="99"/>
      <c r="EM76" s="99"/>
      <c r="EN76" s="99"/>
      <c r="EO76" s="99"/>
      <c r="EP76" s="99"/>
      <c r="EQ76" s="99"/>
      <c r="ER76" s="99"/>
      <c r="ES76" s="99"/>
      <c r="ET76" s="99"/>
      <c r="EU76" s="99"/>
      <c r="EV76" s="99"/>
      <c r="EW76" s="99"/>
      <c r="EX76" s="99"/>
      <c r="EY76" s="99"/>
      <c r="EZ76" s="99"/>
      <c r="FA76" s="99"/>
      <c r="FB76" s="99"/>
      <c r="FC76" s="99"/>
      <c r="FD76" s="99"/>
      <c r="FE76" s="99"/>
      <c r="FF76" s="99"/>
      <c r="FG76" s="99"/>
      <c r="FH76" s="99"/>
      <c r="FI76" s="99"/>
      <c r="FJ76" s="99"/>
      <c r="FK76" s="99"/>
      <c r="FL76" s="99"/>
      <c r="FM76" s="99"/>
      <c r="FN76" s="99"/>
      <c r="FO76" s="99"/>
      <c r="FP76" s="99"/>
      <c r="FQ76" s="99"/>
      <c r="FR76" s="99"/>
      <c r="FS76" s="99"/>
      <c r="FT76" s="99"/>
      <c r="FU76" s="99"/>
      <c r="FV76" s="99"/>
      <c r="FW76" s="99"/>
      <c r="FX76" s="99"/>
      <c r="FY76" s="99"/>
      <c r="FZ76" s="99"/>
      <c r="GA76" s="99"/>
      <c r="GB76" s="99"/>
      <c r="GC76" s="99"/>
      <c r="GD76" s="99"/>
      <c r="GE76" s="99"/>
      <c r="GF76" s="99"/>
      <c r="GG76" s="99"/>
      <c r="GH76" s="99"/>
      <c r="GI76" s="99"/>
      <c r="GJ76" s="99"/>
      <c r="GK76" s="99"/>
      <c r="GL76" s="99"/>
      <c r="GM76" s="99"/>
      <c r="GN76" s="99"/>
      <c r="GO76" s="99"/>
      <c r="GP76" s="99"/>
      <c r="GQ76" s="99"/>
      <c r="GR76" s="99"/>
      <c r="GS76" s="99"/>
      <c r="GT76" s="99"/>
      <c r="GU76" s="99"/>
      <c r="GV76" s="99"/>
      <c r="GW76" s="99"/>
      <c r="GX76" s="99"/>
      <c r="GY76" s="99"/>
      <c r="GZ76" s="99"/>
      <c r="HA76" s="99"/>
      <c r="HB76" s="99"/>
      <c r="HC76" s="99"/>
      <c r="HD76" s="99"/>
      <c r="HE76" s="99"/>
      <c r="HF76" s="99"/>
      <c r="HG76" s="99"/>
      <c r="HH76" s="99"/>
      <c r="HI76" s="99"/>
      <c r="HJ76" s="99"/>
      <c r="HK76" s="99"/>
      <c r="HL76" s="99"/>
      <c r="HM76" s="99"/>
      <c r="HN76" s="99"/>
      <c r="HO76" s="99"/>
      <c r="HP76" s="99"/>
      <c r="HQ76" s="99"/>
      <c r="HR76" s="99"/>
      <c r="HS76" s="99"/>
      <c r="HT76" s="99"/>
      <c r="HU76" s="99"/>
      <c r="HV76" s="99"/>
      <c r="HW76" s="99"/>
      <c r="HX76" s="99"/>
      <c r="HY76" s="99"/>
      <c r="HZ76" s="99"/>
      <c r="IA76" s="99"/>
      <c r="IB76" s="99"/>
      <c r="IC76" s="99"/>
      <c r="ID76" s="99"/>
      <c r="IE76" s="99"/>
      <c r="IF76" s="99"/>
      <c r="IG76" s="99"/>
      <c r="IH76" s="99"/>
      <c r="II76" s="99"/>
      <c r="IJ76" s="99"/>
      <c r="IK76" s="99"/>
      <c r="IL76" s="99"/>
      <c r="IM76" s="99"/>
      <c r="IN76" s="99"/>
      <c r="IO76" s="99"/>
      <c r="IP76" s="99"/>
      <c r="IQ76" s="99"/>
      <c r="IR76" s="99"/>
      <c r="IS76" s="99"/>
      <c r="IT76" s="99"/>
      <c r="IU76" s="99"/>
      <c r="IV76" s="99"/>
      <c r="IW76" s="99"/>
    </row>
    <row r="77" spans="1:257" ht="9" customHeight="1" x14ac:dyDescent="0.25">
      <c r="A77" s="148" t="s">
        <v>230</v>
      </c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96"/>
      <c r="Q77" s="96"/>
      <c r="R77" s="96"/>
      <c r="S77" s="96"/>
      <c r="T77" s="96"/>
      <c r="U77" s="97"/>
      <c r="V77" s="97"/>
      <c r="W77" s="97"/>
      <c r="X77" s="97"/>
      <c r="Y77" s="97"/>
      <c r="Z77" s="97"/>
      <c r="AA77" s="97"/>
      <c r="AB77" s="149" t="s">
        <v>231</v>
      </c>
      <c r="AC77" s="149"/>
      <c r="AD77" s="149"/>
      <c r="AE77" s="149"/>
      <c r="AF77" s="149"/>
      <c r="AG77" s="149"/>
      <c r="AH77" s="149"/>
      <c r="AI77" s="149"/>
      <c r="AJ77" s="149"/>
    </row>
    <row r="78" spans="1:257" ht="12.75" customHeight="1" x14ac:dyDescent="0.25">
      <c r="A78" s="99" t="s">
        <v>233</v>
      </c>
    </row>
    <row r="79" spans="1:257" ht="10.5" customHeight="1" x14ac:dyDescent="0.25">
      <c r="A79" s="99" t="s">
        <v>234</v>
      </c>
    </row>
    <row r="80" spans="1:257" ht="21.75" customHeight="1" x14ac:dyDescent="0.3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147"/>
      <c r="AC80" s="147"/>
      <c r="AD80" s="147"/>
      <c r="AE80" s="147"/>
      <c r="AF80" s="147"/>
      <c r="AG80" s="147"/>
      <c r="AH80" s="147"/>
      <c r="AI80" s="147"/>
      <c r="AJ80" s="147"/>
    </row>
    <row r="81" spans="1:36" ht="8.25" customHeight="1" x14ac:dyDescent="0.25">
      <c r="A81" s="148" t="s">
        <v>230</v>
      </c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96"/>
      <c r="Q81" s="96"/>
      <c r="R81" s="96"/>
      <c r="S81" s="96"/>
      <c r="T81" s="96"/>
      <c r="U81" s="97"/>
      <c r="V81" s="97"/>
      <c r="W81" s="97"/>
      <c r="X81" s="97"/>
      <c r="Y81" s="97"/>
      <c r="Z81" s="97"/>
      <c r="AA81" s="97"/>
      <c r="AB81" s="149" t="s">
        <v>231</v>
      </c>
      <c r="AC81" s="149"/>
      <c r="AD81" s="149"/>
      <c r="AE81" s="149"/>
      <c r="AF81" s="149"/>
      <c r="AG81" s="149"/>
      <c r="AH81" s="149"/>
      <c r="AI81" s="149"/>
      <c r="AJ81" s="149"/>
    </row>
    <row r="82" spans="1:36" ht="37.5" customHeight="1" x14ac:dyDescent="0.25">
      <c r="A82" s="150" t="s">
        <v>203</v>
      </c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50"/>
      <c r="AB82" s="150"/>
      <c r="AC82" s="150"/>
      <c r="AD82" s="150"/>
      <c r="AE82" s="150"/>
      <c r="AF82" s="150"/>
      <c r="AG82" s="150"/>
      <c r="AH82" s="150"/>
      <c r="AI82" s="150"/>
      <c r="AJ82" s="150"/>
    </row>
    <row r="83" spans="1:36" ht="15" customHeight="1" x14ac:dyDescent="0.3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147"/>
      <c r="AC83" s="147"/>
      <c r="AD83" s="147"/>
      <c r="AE83" s="147"/>
      <c r="AF83" s="147"/>
      <c r="AG83" s="147"/>
      <c r="AH83" s="147"/>
      <c r="AI83" s="147"/>
      <c r="AJ83" s="147"/>
    </row>
    <row r="84" spans="1:36" ht="8.25" customHeight="1" x14ac:dyDescent="0.25">
      <c r="A84" s="148" t="s">
        <v>230</v>
      </c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96"/>
      <c r="Q84" s="96"/>
      <c r="R84" s="96"/>
      <c r="S84" s="96"/>
      <c r="T84" s="96"/>
      <c r="U84" s="97"/>
      <c r="V84" s="97"/>
      <c r="W84" s="97"/>
      <c r="X84" s="97"/>
      <c r="Y84" s="97"/>
      <c r="Z84" s="97"/>
      <c r="AA84" s="97"/>
      <c r="AB84" s="149" t="s">
        <v>231</v>
      </c>
      <c r="AC84" s="149"/>
      <c r="AD84" s="149"/>
      <c r="AE84" s="149"/>
      <c r="AF84" s="149"/>
      <c r="AG84" s="149"/>
      <c r="AH84" s="149"/>
      <c r="AI84" s="149"/>
      <c r="AJ84" s="149"/>
    </row>
    <row r="85" spans="1:36" ht="34.5" customHeight="1" x14ac:dyDescent="0.25">
      <c r="A85" s="150" t="s">
        <v>235</v>
      </c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</row>
    <row r="86" spans="1:36" ht="22.5" customHeight="1" x14ac:dyDescent="0.3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147"/>
      <c r="AC86" s="147"/>
      <c r="AD86" s="147"/>
      <c r="AE86" s="147"/>
      <c r="AF86" s="147"/>
      <c r="AG86" s="147"/>
      <c r="AH86" s="147"/>
      <c r="AI86" s="147"/>
      <c r="AJ86" s="147"/>
    </row>
    <row r="87" spans="1:36" ht="12" customHeight="1" x14ac:dyDescent="0.25">
      <c r="A87" s="148" t="s">
        <v>230</v>
      </c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96"/>
      <c r="Q87" s="96"/>
      <c r="R87" s="96"/>
      <c r="S87" s="96"/>
      <c r="T87" s="96"/>
      <c r="U87" s="97"/>
      <c r="V87" s="97"/>
      <c r="W87" s="97"/>
      <c r="X87" s="97"/>
      <c r="Y87" s="97"/>
      <c r="Z87" s="97"/>
      <c r="AA87" s="97"/>
      <c r="AB87" s="149" t="s">
        <v>231</v>
      </c>
      <c r="AC87" s="149"/>
      <c r="AD87" s="149"/>
      <c r="AE87" s="149"/>
      <c r="AF87" s="149"/>
      <c r="AG87" s="149"/>
      <c r="AH87" s="149"/>
      <c r="AI87" s="149"/>
      <c r="AJ87" s="149"/>
    </row>
    <row r="88" spans="1:36" ht="9" customHeight="1" x14ac:dyDescent="0.25"/>
    <row r="89" spans="1:36" ht="12" customHeight="1" x14ac:dyDescent="0.25"/>
  </sheetData>
  <mergeCells count="74"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  <mergeCell ref="A33:AJ33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A52:AJ52"/>
    <mergeCell ref="A34:AJ34"/>
    <mergeCell ref="A35:AJ35"/>
    <mergeCell ref="A36:AJ36"/>
    <mergeCell ref="A37:AJ37"/>
    <mergeCell ref="A39:AJ39"/>
    <mergeCell ref="A41:AJ41"/>
    <mergeCell ref="A42:AJ42"/>
    <mergeCell ref="A45:AJ45"/>
    <mergeCell ref="A46:AJ46"/>
    <mergeCell ref="N47:AJ47"/>
    <mergeCell ref="A51:AJ51"/>
    <mergeCell ref="A71:O71"/>
    <mergeCell ref="AB71:AJ71"/>
    <mergeCell ref="A53:AJ53"/>
    <mergeCell ref="A54:AJ54"/>
    <mergeCell ref="A55:AJ55"/>
    <mergeCell ref="L58:AJ58"/>
    <mergeCell ref="H60:I60"/>
    <mergeCell ref="A63:AJ63"/>
    <mergeCell ref="A64:AJ64"/>
    <mergeCell ref="A65:AJ65"/>
    <mergeCell ref="A67:AJ67"/>
    <mergeCell ref="A70:O70"/>
    <mergeCell ref="AB70:AJ70"/>
    <mergeCell ref="A72:AJ72"/>
    <mergeCell ref="A73:O73"/>
    <mergeCell ref="A74:O74"/>
    <mergeCell ref="AB74:AJ74"/>
    <mergeCell ref="A76:O76"/>
    <mergeCell ref="AB76:AJ76"/>
    <mergeCell ref="A77:O77"/>
    <mergeCell ref="AB77:AJ77"/>
    <mergeCell ref="A80:O80"/>
    <mergeCell ref="AB80:AJ80"/>
    <mergeCell ref="A81:O81"/>
    <mergeCell ref="AB81:AJ81"/>
    <mergeCell ref="A86:O86"/>
    <mergeCell ref="AB86:AJ86"/>
    <mergeCell ref="A87:O87"/>
    <mergeCell ref="AB87:AJ87"/>
    <mergeCell ref="A82:AJ82"/>
    <mergeCell ref="A83:O83"/>
    <mergeCell ref="AB83:AJ83"/>
    <mergeCell ref="A84:O84"/>
    <mergeCell ref="AB84:AJ84"/>
    <mergeCell ref="A85:AJ85"/>
  </mergeCells>
  <pageMargins left="0.78749999999999998" right="0.27569444444444402" top="0.39374999999999999" bottom="0.39374999999999999" header="0.511811023622047" footer="0.511811023622047"/>
  <pageSetup paperSize="9" scale="89" orientation="portrait" horizontalDpi="300" verticalDpi="300"/>
  <rowBreaks count="1" manualBreakCount="1">
    <brk id="3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A6C7-93AA-4F2B-9E9F-BA6B3BBA8507}">
  <sheetPr>
    <tabColor rgb="FF339966"/>
  </sheetPr>
  <dimension ref="A1:IW88"/>
  <sheetViews>
    <sheetView topLeftCell="A22" zoomScale="125" zoomScaleNormal="125" zoomScalePageLayoutView="130" workbookViewId="0">
      <selection activeCell="A33" sqref="A33:AJ33"/>
    </sheetView>
  </sheetViews>
  <sheetFormatPr defaultColWidth="10.6640625" defaultRowHeight="15" customHeight="1" x14ac:dyDescent="0.25"/>
  <cols>
    <col min="1" max="31" width="2.77734375" style="75" customWidth="1"/>
    <col min="32" max="32" width="3" style="75" customWidth="1"/>
    <col min="33" max="51" width="2.77734375" style="75" customWidth="1"/>
    <col min="52" max="257" width="10.6640625" style="75"/>
    <col min="258" max="16384" width="10.6640625" style="71"/>
  </cols>
  <sheetData>
    <row r="1" spans="1:43" ht="12.75" customHeight="1" x14ac:dyDescent="0.25">
      <c r="AJ1" s="76" t="s">
        <v>179</v>
      </c>
    </row>
    <row r="2" spans="1:43" ht="11.25" customHeight="1" x14ac:dyDescent="0.25">
      <c r="AJ2" s="76" t="s">
        <v>236</v>
      </c>
    </row>
    <row r="3" spans="1:43" ht="12" customHeight="1" x14ac:dyDescent="0.25">
      <c r="A3" s="71" t="s">
        <v>181</v>
      </c>
      <c r="AJ3" s="77"/>
      <c r="AK3" s="77"/>
      <c r="AL3" s="77"/>
      <c r="AM3" s="77"/>
      <c r="AN3" s="77"/>
      <c r="AO3" s="77"/>
      <c r="AP3" s="77"/>
      <c r="AQ3" s="77"/>
    </row>
    <row r="4" spans="1:43" ht="29.25" customHeight="1" x14ac:dyDescent="0.25">
      <c r="A4" s="157">
        <f>'[1]АОСР (1)'!A4:AJ4</f>
        <v>0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</row>
    <row r="5" spans="1:43" ht="9" customHeight="1" x14ac:dyDescent="0.25">
      <c r="A5" s="156" t="s">
        <v>182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</row>
    <row r="6" spans="1:43" ht="23.25" customHeight="1" x14ac:dyDescent="0.25">
      <c r="A6" s="159" t="s">
        <v>183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</row>
    <row r="7" spans="1:43" ht="40.5" customHeight="1" x14ac:dyDescent="0.25">
      <c r="A7" s="157">
        <f>'[1]АОСР (1)'!A7:AJ7</f>
        <v>0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</row>
    <row r="8" spans="1:43" ht="46.5" customHeight="1" x14ac:dyDescent="0.25">
      <c r="A8" s="156" t="s">
        <v>184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</row>
    <row r="9" spans="1:43" ht="12" customHeight="1" x14ac:dyDescent="0.25">
      <c r="A9" s="71" t="s">
        <v>185</v>
      </c>
    </row>
    <row r="10" spans="1:43" ht="48.75" customHeight="1" x14ac:dyDescent="0.25">
      <c r="A10" s="170">
        <f>'[1]АОСР (1)'!A10:AJ10</f>
        <v>0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</row>
    <row r="11" spans="1:43" ht="36" customHeight="1" x14ac:dyDescent="0.25">
      <c r="A11" s="156" t="s">
        <v>186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</row>
    <row r="12" spans="1:43" ht="15" customHeight="1" x14ac:dyDescent="0.25">
      <c r="A12" s="71" t="s">
        <v>187</v>
      </c>
    </row>
    <row r="13" spans="1:43" ht="37.5" customHeight="1" x14ac:dyDescent="0.25">
      <c r="A13" s="170">
        <f>'[1]АОСР (1)'!A13:AJ13</f>
        <v>0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</row>
    <row r="14" spans="1:43" ht="27.75" customHeight="1" x14ac:dyDescent="0.25">
      <c r="A14" s="156" t="s">
        <v>188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</row>
    <row r="15" spans="1:43" ht="10.5" customHeight="1" x14ac:dyDescent="0.25">
      <c r="A15" s="163" t="s">
        <v>61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</row>
    <row r="16" spans="1:43" ht="12.75" customHeight="1" x14ac:dyDescent="0.25">
      <c r="A16" s="164" t="s">
        <v>128</v>
      </c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</row>
    <row r="17" spans="1:257" ht="3.75" customHeight="1" x14ac:dyDescent="0.3">
      <c r="A17" s="78"/>
      <c r="B17" s="78"/>
      <c r="C17" s="78"/>
      <c r="D17" s="78"/>
      <c r="E17" s="78"/>
      <c r="F17" s="78"/>
      <c r="G17" s="78"/>
      <c r="H17" s="78"/>
      <c r="I17" s="78"/>
      <c r="J17" s="78"/>
    </row>
    <row r="18" spans="1:257" ht="12.75" customHeight="1" x14ac:dyDescent="0.3">
      <c r="A18" s="79"/>
      <c r="B18" s="79" t="s">
        <v>190</v>
      </c>
      <c r="C18" s="162" t="str">
        <f>CONCATENATE("2 (ЗП ГНБ №",[1]Лист1!B2,")")</f>
        <v>2 (ЗП ГНБ №)</v>
      </c>
      <c r="D18" s="162"/>
      <c r="E18" s="162"/>
      <c r="F18" s="162"/>
      <c r="G18" s="162"/>
      <c r="H18" s="162"/>
      <c r="I18" s="162"/>
      <c r="J18" s="162"/>
      <c r="K18" s="162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80" t="s">
        <v>191</v>
      </c>
      <c r="Y18" s="147">
        <f>[1]Лист1!C8</f>
        <v>0</v>
      </c>
      <c r="Z18" s="147"/>
      <c r="AA18" s="71" t="s">
        <v>191</v>
      </c>
      <c r="AB18" s="147">
        <f>[1]Лист1!D8</f>
        <v>0</v>
      </c>
      <c r="AC18" s="147"/>
      <c r="AD18" s="147"/>
      <c r="AE18" s="147"/>
      <c r="AF18" s="71"/>
      <c r="AG18" s="147">
        <f>[1]Лист1!E8</f>
        <v>0</v>
      </c>
      <c r="AH18" s="147"/>
      <c r="AI18" s="147"/>
      <c r="AJ18" s="71" t="s">
        <v>192</v>
      </c>
    </row>
    <row r="19" spans="1:257" ht="9.75" customHeight="1" x14ac:dyDescent="0.25">
      <c r="Y19" s="81"/>
      <c r="Z19" s="82" t="s">
        <v>193</v>
      </c>
      <c r="AA19" s="81"/>
      <c r="AB19" s="81"/>
      <c r="AC19" s="81"/>
      <c r="AD19" s="81"/>
      <c r="AE19" s="81"/>
      <c r="AF19" s="81"/>
      <c r="AG19" s="81"/>
      <c r="AH19" s="81"/>
    </row>
    <row r="20" spans="1:257" ht="3" customHeight="1" x14ac:dyDescent="0.25"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 spans="1:257" ht="24.75" customHeight="1" x14ac:dyDescent="0.25">
      <c r="A21" s="159" t="s">
        <v>194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</row>
    <row r="22" spans="1:257" ht="27" customHeight="1" x14ac:dyDescent="0.25">
      <c r="A22" s="160">
        <f>'[1]АОСР (1)'!A22:AJ22</f>
        <v>0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</row>
    <row r="23" spans="1:257" ht="23.25" customHeight="1" x14ac:dyDescent="0.25">
      <c r="A23" s="161" t="s">
        <v>195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</row>
    <row r="24" spans="1:257" ht="12" customHeight="1" x14ac:dyDescent="0.25">
      <c r="A24" s="157">
        <f>'[1]АОСР (1)'!A24:AJ24</f>
        <v>0</v>
      </c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</row>
    <row r="25" spans="1:257" ht="39" customHeight="1" x14ac:dyDescent="0.25">
      <c r="A25" s="156" t="s">
        <v>198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</row>
    <row r="26" spans="1:257" ht="12" customHeight="1" x14ac:dyDescent="0.25">
      <c r="A26" s="71" t="s">
        <v>199</v>
      </c>
    </row>
    <row r="27" spans="1:257" ht="33.75" customHeight="1" x14ac:dyDescent="0.25">
      <c r="A27" s="157">
        <f>'[1]АОСР (1)'!A27:AJ27</f>
        <v>0</v>
      </c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</row>
    <row r="28" spans="1:257" ht="9" customHeight="1" x14ac:dyDescent="0.25">
      <c r="A28" s="156" t="s">
        <v>200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</row>
    <row r="29" spans="1:257" ht="24.75" customHeight="1" x14ac:dyDescent="0.25">
      <c r="A29" s="159" t="s">
        <v>201</v>
      </c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</row>
    <row r="30" spans="1:257" ht="33.75" customHeight="1" x14ac:dyDescent="0.25">
      <c r="A30" s="157">
        <f>'[1]АОСР (1)'!A30:AJ30</f>
        <v>0</v>
      </c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</row>
    <row r="31" spans="1:257" ht="26.25" customHeight="1" x14ac:dyDescent="0.25">
      <c r="A31" s="156" t="s">
        <v>202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</row>
    <row r="32" spans="1:257" ht="48" customHeight="1" x14ac:dyDescent="0.25">
      <c r="A32" s="151" t="s">
        <v>203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</row>
    <row r="33" spans="1:257" ht="15" customHeight="1" x14ac:dyDescent="0.25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84"/>
      <c r="HX33" s="84"/>
      <c r="HY33" s="84"/>
      <c r="HZ33" s="84"/>
      <c r="IA33" s="84"/>
      <c r="IB33" s="84"/>
      <c r="IC33" s="84"/>
      <c r="ID33" s="84"/>
      <c r="IE33" s="84"/>
      <c r="IF33" s="84"/>
      <c r="IG33" s="84"/>
      <c r="IH33" s="84"/>
      <c r="II33" s="84"/>
      <c r="IJ33" s="84"/>
      <c r="IK33" s="84"/>
      <c r="IL33" s="84"/>
      <c r="IM33" s="84"/>
      <c r="IN33" s="84"/>
      <c r="IO33" s="84"/>
      <c r="IP33" s="84"/>
      <c r="IQ33" s="84"/>
      <c r="IR33" s="84"/>
      <c r="IS33" s="84"/>
      <c r="IT33" s="84"/>
      <c r="IU33" s="84"/>
      <c r="IV33" s="84"/>
      <c r="IW33" s="84"/>
    </row>
    <row r="34" spans="1:257" ht="17.25" customHeight="1" x14ac:dyDescent="0.25">
      <c r="A34" s="156" t="s">
        <v>204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</row>
    <row r="35" spans="1:257" ht="39.75" customHeight="1" x14ac:dyDescent="0.25">
      <c r="A35" s="151" t="s">
        <v>237</v>
      </c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</row>
    <row r="36" spans="1:257" ht="20.25" customHeight="1" x14ac:dyDescent="0.25">
      <c r="A36" s="158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</row>
    <row r="37" spans="1:257" ht="18" customHeight="1" x14ac:dyDescent="0.25">
      <c r="A37" s="148" t="s">
        <v>206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</row>
    <row r="38" spans="1:257" ht="11.25" customHeight="1" x14ac:dyDescent="0.25">
      <c r="A38" s="71" t="s">
        <v>238</v>
      </c>
    </row>
    <row r="39" spans="1:257" ht="12" customHeight="1" x14ac:dyDescent="0.3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</row>
    <row r="40" spans="1:257" ht="10.5" customHeight="1" x14ac:dyDescent="0.25">
      <c r="A40" s="148" t="s">
        <v>239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</row>
    <row r="41" spans="1:257" ht="10.5" customHeight="1" x14ac:dyDescent="0.25">
      <c r="A41" s="71" t="s">
        <v>240</v>
      </c>
    </row>
    <row r="42" spans="1:257" ht="12" customHeight="1" x14ac:dyDescent="0.25">
      <c r="A42" s="71" t="s">
        <v>241</v>
      </c>
    </row>
    <row r="43" spans="1:257" ht="39" customHeight="1" x14ac:dyDescent="0.25">
      <c r="A43" s="168" t="str">
        <f>CONCATENATE("Строительство закрытого перехода №",[1]Лист1!B2," методом ГНБ; Lпр.=",[1]Лист1!B3," м, Lобщ.=",[1]Лист1!B4," м, одна скважина из 2-х труб d=225 мм, по адресу : ",[1]Лист1!B5,", проверка трубных переходов на проходимость; затягивание шнура; нумерация труб; установка заглушек.")</f>
        <v>Строительство закрытого перехода № методом ГНБ; Lпр.= м, Lобщ.=0 м, одна скважина из 2-х труб d=225 мм, по адресу : , проверка трубных переходов на проходимость; затягивание шнура; нумерация труб; установка заглушек.</v>
      </c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</row>
    <row r="44" spans="1:257" ht="9.75" customHeight="1" x14ac:dyDescent="0.25">
      <c r="A44" s="156" t="s">
        <v>242</v>
      </c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</row>
    <row r="45" spans="1:257" ht="12" customHeight="1" x14ac:dyDescent="0.25">
      <c r="A45" s="71" t="s">
        <v>243</v>
      </c>
    </row>
    <row r="46" spans="1:257" ht="12" customHeight="1" x14ac:dyDescent="0.25">
      <c r="A46" s="157">
        <f>'[1]АОСР (1)'!A45:AJ45</f>
        <v>0</v>
      </c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</row>
    <row r="47" spans="1:257" ht="15" customHeight="1" x14ac:dyDescent="0.25">
      <c r="A47" s="156" t="s">
        <v>244</v>
      </c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</row>
    <row r="48" spans="1:257" ht="15" customHeight="1" x14ac:dyDescent="0.3">
      <c r="A48" s="71" t="s">
        <v>245</v>
      </c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</row>
    <row r="49" spans="1:257" ht="52.5" customHeight="1" x14ac:dyDescent="0.25">
      <c r="A49" s="166"/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</row>
    <row r="50" spans="1:257" ht="18" customHeight="1" x14ac:dyDescent="0.25">
      <c r="A50" s="156" t="s">
        <v>246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257" ht="12.75" customHeight="1" x14ac:dyDescent="0.25">
      <c r="A51" s="71" t="s">
        <v>247</v>
      </c>
    </row>
    <row r="52" spans="1:257" ht="12" customHeight="1" x14ac:dyDescent="0.25">
      <c r="A52" s="71" t="s">
        <v>248</v>
      </c>
      <c r="G52" s="167" t="str">
        <f>CONCATENATE("Исполнительный чертеж ЗП №",[1]Лист1!B2," (по адресу: ",[1]Лист1!B5,")")</f>
        <v>Исполнительный чертеж ЗП № (по адресу: )</v>
      </c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  <c r="AB52" s="167"/>
      <c r="AC52" s="167"/>
      <c r="AD52" s="167"/>
      <c r="AE52" s="167"/>
      <c r="AF52" s="167"/>
      <c r="AG52" s="167"/>
      <c r="AH52" s="167"/>
      <c r="AI52" s="167"/>
      <c r="AJ52" s="167"/>
    </row>
    <row r="53" spans="1:257" ht="12" customHeight="1" x14ac:dyDescent="0.25">
      <c r="A53" s="155" t="s">
        <v>249</v>
      </c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</row>
    <row r="54" spans="1:257" ht="13.5" customHeight="1" x14ac:dyDescent="0.3">
      <c r="A54" s="71" t="s">
        <v>250</v>
      </c>
      <c r="B54" s="71"/>
      <c r="C54" s="71"/>
      <c r="D54" s="100"/>
      <c r="E54" s="100"/>
      <c r="F54" s="100"/>
      <c r="G54" s="100"/>
      <c r="H54" s="71"/>
      <c r="I54" s="71"/>
      <c r="J54" s="71"/>
      <c r="K54" s="71"/>
      <c r="L54" s="80" t="s">
        <v>191</v>
      </c>
      <c r="M54" s="147">
        <f>[1]Лист1!C6</f>
        <v>0</v>
      </c>
      <c r="N54" s="147"/>
      <c r="O54" s="71" t="s">
        <v>191</v>
      </c>
      <c r="P54" s="147">
        <f>[1]Лист1!D6</f>
        <v>0</v>
      </c>
      <c r="Q54" s="147"/>
      <c r="R54" s="147"/>
      <c r="S54" s="147"/>
      <c r="T54" s="71"/>
      <c r="U54" s="147">
        <f>[1]Лист1!E6</f>
        <v>0</v>
      </c>
      <c r="V54" s="147"/>
      <c r="W54" s="147"/>
      <c r="X54" s="71" t="s">
        <v>192</v>
      </c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</row>
    <row r="55" spans="1:257" ht="12" customHeight="1" x14ac:dyDescent="0.3">
      <c r="A55" s="71" t="s">
        <v>251</v>
      </c>
      <c r="B55" s="71"/>
      <c r="C55" s="71"/>
      <c r="D55" s="100"/>
      <c r="E55" s="100"/>
      <c r="F55" s="100"/>
      <c r="G55" s="100"/>
      <c r="H55" s="71"/>
      <c r="I55" s="71"/>
      <c r="J55" s="71"/>
      <c r="K55" s="71"/>
      <c r="L55" s="80" t="s">
        <v>191</v>
      </c>
      <c r="M55" s="165">
        <f>[1]Лист1!C7</f>
        <v>0</v>
      </c>
      <c r="N55" s="165"/>
      <c r="O55" s="71" t="s">
        <v>191</v>
      </c>
      <c r="P55" s="165">
        <f>[1]Лист1!D7</f>
        <v>0</v>
      </c>
      <c r="Q55" s="165"/>
      <c r="R55" s="165"/>
      <c r="S55" s="165"/>
      <c r="T55" s="71"/>
      <c r="U55" s="165">
        <f>[1]Лист1!E7</f>
        <v>0</v>
      </c>
      <c r="V55" s="165"/>
      <c r="W55" s="165"/>
      <c r="X55" s="71" t="s">
        <v>192</v>
      </c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1"/>
      <c r="EJ55" s="71"/>
      <c r="EK55" s="71"/>
      <c r="EL55" s="71"/>
      <c r="EM55" s="71"/>
      <c r="EN55" s="71"/>
      <c r="EO55" s="71"/>
      <c r="EP55" s="71"/>
      <c r="EQ55" s="71"/>
      <c r="ER55" s="71"/>
      <c r="ES55" s="71"/>
      <c r="ET55" s="71"/>
      <c r="EU55" s="71"/>
      <c r="EV55" s="71"/>
      <c r="EW55" s="71"/>
      <c r="EX55" s="71"/>
      <c r="EY55" s="71"/>
      <c r="EZ55" s="71"/>
      <c r="FA55" s="71"/>
      <c r="FB55" s="71"/>
      <c r="FC55" s="71"/>
      <c r="FD55" s="71"/>
      <c r="FE55" s="71"/>
      <c r="FF55" s="71"/>
      <c r="FG55" s="71"/>
      <c r="FH55" s="71"/>
      <c r="FI55" s="71"/>
      <c r="FJ55" s="71"/>
      <c r="FK55" s="71"/>
      <c r="FL55" s="71"/>
      <c r="FM55" s="71"/>
      <c r="FN55" s="71"/>
      <c r="FO55" s="71"/>
      <c r="FP55" s="71"/>
      <c r="FQ55" s="71"/>
      <c r="FR55" s="71"/>
      <c r="FS55" s="71"/>
      <c r="FT55" s="71"/>
      <c r="FU55" s="71"/>
      <c r="FV55" s="71"/>
      <c r="FW55" s="71"/>
      <c r="FX55" s="71"/>
      <c r="FY55" s="71"/>
      <c r="FZ55" s="71"/>
      <c r="GA55" s="71"/>
      <c r="GB55" s="71"/>
      <c r="GC55" s="71"/>
      <c r="GD55" s="71"/>
      <c r="GE55" s="71"/>
      <c r="GF55" s="71"/>
      <c r="GG55" s="71"/>
      <c r="GH55" s="71"/>
      <c r="GI55" s="71"/>
      <c r="GJ55" s="71"/>
      <c r="GK55" s="71"/>
      <c r="GL55" s="71"/>
      <c r="GM55" s="71"/>
      <c r="GN55" s="71"/>
      <c r="GO55" s="71"/>
      <c r="GP55" s="71"/>
      <c r="GQ55" s="71"/>
      <c r="GR55" s="71"/>
      <c r="GS55" s="71"/>
      <c r="GT55" s="71"/>
      <c r="GU55" s="71"/>
      <c r="GV55" s="71"/>
      <c r="GW55" s="71"/>
      <c r="GX55" s="71"/>
      <c r="GY55" s="71"/>
      <c r="GZ55" s="71"/>
      <c r="HA55" s="71"/>
      <c r="HB55" s="71"/>
      <c r="HC55" s="71"/>
      <c r="HD55" s="71"/>
      <c r="HE55" s="71"/>
      <c r="HF55" s="71"/>
      <c r="HG55" s="71"/>
      <c r="HH55" s="71"/>
      <c r="HI55" s="71"/>
      <c r="HJ55" s="71"/>
      <c r="HK55" s="71"/>
      <c r="HL55" s="71"/>
      <c r="HM55" s="71"/>
      <c r="HN55" s="71"/>
      <c r="HO55" s="71"/>
      <c r="HP55" s="71"/>
      <c r="HQ55" s="71"/>
      <c r="HR55" s="71"/>
      <c r="HS55" s="71"/>
      <c r="HT55" s="71"/>
      <c r="HU55" s="71"/>
      <c r="HV55" s="71"/>
      <c r="HW55" s="71"/>
      <c r="HX55" s="71"/>
      <c r="HY55" s="71"/>
      <c r="HZ55" s="71"/>
      <c r="IA55" s="71"/>
      <c r="IB55" s="71"/>
      <c r="IC55" s="71"/>
      <c r="ID55" s="71"/>
      <c r="IE55" s="71"/>
      <c r="IF55" s="71"/>
      <c r="IG55" s="71"/>
      <c r="IH55" s="71"/>
      <c r="II55" s="71"/>
      <c r="IJ55" s="71"/>
      <c r="IK55" s="71"/>
      <c r="IL55" s="71"/>
      <c r="IM55" s="71"/>
      <c r="IN55" s="71"/>
      <c r="IO55" s="71"/>
      <c r="IP55" s="71"/>
      <c r="IQ55" s="71"/>
      <c r="IR55" s="71"/>
      <c r="IS55" s="71"/>
      <c r="IT55" s="71"/>
      <c r="IU55" s="71"/>
      <c r="IV55" s="71"/>
      <c r="IW55" s="71"/>
    </row>
    <row r="56" spans="1:257" ht="4.5" customHeight="1" x14ac:dyDescent="0.25">
      <c r="A56" s="101"/>
      <c r="B56" s="101"/>
      <c r="C56" s="101"/>
      <c r="D56" s="102"/>
      <c r="E56" s="102"/>
      <c r="F56" s="102"/>
      <c r="G56" s="102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</row>
    <row r="57" spans="1:257" ht="9.75" customHeight="1" x14ac:dyDescent="0.25">
      <c r="A57" s="71" t="s">
        <v>252</v>
      </c>
      <c r="O57" s="162">
        <f>A46</f>
        <v>0</v>
      </c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</row>
    <row r="58" spans="1:257" ht="12.75" customHeight="1" x14ac:dyDescent="0.25">
      <c r="A58" s="71" t="s">
        <v>253</v>
      </c>
    </row>
    <row r="59" spans="1:257" ht="12" customHeight="1" x14ac:dyDescent="0.3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</row>
    <row r="60" spans="1:257" ht="12" customHeight="1" x14ac:dyDescent="0.25">
      <c r="A60" s="156" t="s">
        <v>254</v>
      </c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</row>
    <row r="61" spans="1:257" ht="12.75" customHeight="1" x14ac:dyDescent="0.3">
      <c r="A61" s="71" t="s">
        <v>221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147" t="s">
        <v>222</v>
      </c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</row>
    <row r="62" spans="1:257" ht="15" customHeight="1" x14ac:dyDescent="0.3">
      <c r="A62" s="71" t="s">
        <v>223</v>
      </c>
      <c r="B62" s="71"/>
      <c r="C62" s="71"/>
      <c r="D62" s="71"/>
      <c r="E62" s="71"/>
      <c r="F62" s="71"/>
      <c r="G62" s="71"/>
      <c r="H62" s="147">
        <v>4</v>
      </c>
      <c r="I62" s="147"/>
      <c r="J62" s="71" t="s">
        <v>224</v>
      </c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</row>
    <row r="63" spans="1:257" ht="12.75" customHeight="1" x14ac:dyDescent="0.25">
      <c r="A63" s="71" t="s">
        <v>225</v>
      </c>
    </row>
    <row r="64" spans="1:257" ht="12.75" customHeight="1" x14ac:dyDescent="0.25">
      <c r="A64" s="154" t="str">
        <f>CONCATENATE("1. ",G52)</f>
        <v>1. Исполнительный чертеж ЗП № (по адресу: )</v>
      </c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</row>
    <row r="65" spans="1:257" ht="52.5" customHeight="1" x14ac:dyDescent="0.25">
      <c r="A65" s="166" t="str">
        <f>CONCATENATE("2. ",A49)</f>
        <v xml:space="preserve">2. </v>
      </c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</row>
    <row r="66" spans="1:257" ht="10.5" customHeight="1" x14ac:dyDescent="0.25">
      <c r="A66" s="156" t="s">
        <v>227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</row>
    <row r="67" spans="1:257" ht="13.5" customHeight="1" x14ac:dyDescent="0.25">
      <c r="A67" s="71" t="s">
        <v>228</v>
      </c>
    </row>
    <row r="68" spans="1:257" ht="12" customHeight="1" x14ac:dyDescent="0.25">
      <c r="A68" s="71" t="s">
        <v>229</v>
      </c>
    </row>
    <row r="69" spans="1:257" ht="28.5" customHeight="1" x14ac:dyDescent="0.3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147"/>
      <c r="AC69" s="147"/>
      <c r="AD69" s="147"/>
      <c r="AE69" s="147"/>
      <c r="AF69" s="147"/>
      <c r="AG69" s="147"/>
      <c r="AH69" s="147"/>
      <c r="AI69" s="147"/>
      <c r="AJ69" s="147"/>
    </row>
    <row r="70" spans="1:257" ht="10.5" customHeight="1" x14ac:dyDescent="0.25">
      <c r="A70" s="148" t="s">
        <v>230</v>
      </c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96"/>
      <c r="Q70" s="96"/>
      <c r="R70" s="96"/>
      <c r="S70" s="96"/>
      <c r="T70" s="96"/>
      <c r="U70" s="97"/>
      <c r="V70" s="97"/>
      <c r="W70" s="97"/>
      <c r="X70" s="97"/>
      <c r="Y70" s="97"/>
      <c r="Z70" s="97"/>
      <c r="AA70" s="97"/>
      <c r="AB70" s="149" t="s">
        <v>231</v>
      </c>
      <c r="AC70" s="149"/>
      <c r="AD70" s="149"/>
      <c r="AE70" s="149"/>
      <c r="AF70" s="149"/>
      <c r="AG70" s="149"/>
      <c r="AH70" s="149"/>
      <c r="AI70" s="149"/>
      <c r="AJ70" s="149"/>
    </row>
    <row r="71" spans="1:257" ht="11.25" customHeight="1" x14ac:dyDescent="0.25">
      <c r="A71" s="151" t="s">
        <v>232</v>
      </c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</row>
    <row r="72" spans="1:257" ht="28.5" customHeight="1" x14ac:dyDescent="0.3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8"/>
      <c r="AC72" s="98"/>
      <c r="AD72" s="98"/>
      <c r="AE72" s="98"/>
      <c r="AF72" s="98"/>
      <c r="AG72" s="98"/>
      <c r="AH72" s="98"/>
      <c r="AI72" s="98"/>
      <c r="AJ72" s="98"/>
    </row>
    <row r="73" spans="1:257" ht="9.75" customHeight="1" x14ac:dyDescent="0.25">
      <c r="A73" s="148" t="s">
        <v>230</v>
      </c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96"/>
      <c r="Q73" s="96"/>
      <c r="R73" s="96"/>
      <c r="S73" s="96"/>
      <c r="T73" s="96"/>
      <c r="U73" s="97"/>
      <c r="V73" s="97"/>
      <c r="W73" s="97"/>
      <c r="X73" s="97"/>
      <c r="Y73" s="97"/>
      <c r="Z73" s="97"/>
      <c r="AA73" s="97"/>
      <c r="AB73" s="149" t="s">
        <v>231</v>
      </c>
      <c r="AC73" s="149"/>
      <c r="AD73" s="149"/>
      <c r="AE73" s="149"/>
      <c r="AF73" s="149"/>
      <c r="AG73" s="149"/>
      <c r="AH73" s="149"/>
      <c r="AI73" s="149"/>
      <c r="AJ73" s="149"/>
    </row>
    <row r="74" spans="1:257" ht="10.5" customHeight="1" x14ac:dyDescent="0.25">
      <c r="A74" s="99" t="s">
        <v>199</v>
      </c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</row>
    <row r="75" spans="1:257" ht="24.75" customHeight="1" x14ac:dyDescent="0.3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147"/>
      <c r="AC75" s="147"/>
      <c r="AD75" s="147"/>
      <c r="AE75" s="147"/>
      <c r="AF75" s="147"/>
      <c r="AG75" s="147"/>
      <c r="AH75" s="147"/>
      <c r="AI75" s="147"/>
      <c r="AJ75" s="147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99"/>
      <c r="CH75" s="99"/>
      <c r="CI75" s="99"/>
      <c r="CJ75" s="99"/>
      <c r="CK75" s="99"/>
      <c r="CL75" s="99"/>
      <c r="CM75" s="99"/>
      <c r="CN75" s="99"/>
      <c r="CO75" s="99"/>
      <c r="CP75" s="99"/>
      <c r="CQ75" s="99"/>
      <c r="CR75" s="99"/>
      <c r="CS75" s="99"/>
      <c r="CT75" s="99"/>
      <c r="CU75" s="99"/>
      <c r="CV75" s="99"/>
      <c r="CW75" s="99"/>
      <c r="CX75" s="99"/>
      <c r="CY75" s="99"/>
      <c r="CZ75" s="99"/>
      <c r="DA75" s="99"/>
      <c r="DB75" s="99"/>
      <c r="DC75" s="99"/>
      <c r="DD75" s="99"/>
      <c r="DE75" s="99"/>
      <c r="DF75" s="99"/>
      <c r="DG75" s="99"/>
      <c r="DH75" s="99"/>
      <c r="DI75" s="99"/>
      <c r="DJ75" s="99"/>
      <c r="DK75" s="99"/>
      <c r="DL75" s="99"/>
      <c r="DM75" s="99"/>
      <c r="DN75" s="99"/>
      <c r="DO75" s="99"/>
      <c r="DP75" s="99"/>
      <c r="DQ75" s="99"/>
      <c r="DR75" s="99"/>
      <c r="DS75" s="99"/>
      <c r="DT75" s="99"/>
      <c r="DU75" s="99"/>
      <c r="DV75" s="99"/>
      <c r="DW75" s="99"/>
      <c r="DX75" s="99"/>
      <c r="DY75" s="99"/>
      <c r="DZ75" s="99"/>
      <c r="EA75" s="99"/>
      <c r="EB75" s="99"/>
      <c r="EC75" s="99"/>
      <c r="ED75" s="99"/>
      <c r="EE75" s="99"/>
      <c r="EF75" s="99"/>
      <c r="EG75" s="99"/>
      <c r="EH75" s="99"/>
      <c r="EI75" s="99"/>
      <c r="EJ75" s="99"/>
      <c r="EK75" s="99"/>
      <c r="EL75" s="99"/>
      <c r="EM75" s="99"/>
      <c r="EN75" s="99"/>
      <c r="EO75" s="99"/>
      <c r="EP75" s="99"/>
      <c r="EQ75" s="99"/>
      <c r="ER75" s="99"/>
      <c r="ES75" s="99"/>
      <c r="ET75" s="99"/>
      <c r="EU75" s="99"/>
      <c r="EV75" s="99"/>
      <c r="EW75" s="99"/>
      <c r="EX75" s="99"/>
      <c r="EY75" s="99"/>
      <c r="EZ75" s="99"/>
      <c r="FA75" s="99"/>
      <c r="FB75" s="99"/>
      <c r="FC75" s="99"/>
      <c r="FD75" s="99"/>
      <c r="FE75" s="99"/>
      <c r="FF75" s="99"/>
      <c r="FG75" s="99"/>
      <c r="FH75" s="99"/>
      <c r="FI75" s="99"/>
      <c r="FJ75" s="99"/>
      <c r="FK75" s="99"/>
      <c r="FL75" s="99"/>
      <c r="FM75" s="99"/>
      <c r="FN75" s="99"/>
      <c r="FO75" s="99"/>
      <c r="FP75" s="99"/>
      <c r="FQ75" s="99"/>
      <c r="FR75" s="99"/>
      <c r="FS75" s="99"/>
      <c r="FT75" s="99"/>
      <c r="FU75" s="99"/>
      <c r="FV75" s="99"/>
      <c r="FW75" s="99"/>
      <c r="FX75" s="99"/>
      <c r="FY75" s="99"/>
      <c r="FZ75" s="99"/>
      <c r="GA75" s="99"/>
      <c r="GB75" s="99"/>
      <c r="GC75" s="99"/>
      <c r="GD75" s="99"/>
      <c r="GE75" s="99"/>
      <c r="GF75" s="99"/>
      <c r="GG75" s="99"/>
      <c r="GH75" s="99"/>
      <c r="GI75" s="99"/>
      <c r="GJ75" s="99"/>
      <c r="GK75" s="99"/>
      <c r="GL75" s="99"/>
      <c r="GM75" s="99"/>
      <c r="GN75" s="99"/>
      <c r="GO75" s="99"/>
      <c r="GP75" s="99"/>
      <c r="GQ75" s="99"/>
      <c r="GR75" s="99"/>
      <c r="GS75" s="99"/>
      <c r="GT75" s="99"/>
      <c r="GU75" s="99"/>
      <c r="GV75" s="99"/>
      <c r="GW75" s="99"/>
      <c r="GX75" s="99"/>
      <c r="GY75" s="99"/>
      <c r="GZ75" s="99"/>
      <c r="HA75" s="99"/>
      <c r="HB75" s="99"/>
      <c r="HC75" s="99"/>
      <c r="HD75" s="99"/>
      <c r="HE75" s="99"/>
      <c r="HF75" s="99"/>
      <c r="HG75" s="99"/>
      <c r="HH75" s="99"/>
      <c r="HI75" s="99"/>
      <c r="HJ75" s="99"/>
      <c r="HK75" s="99"/>
      <c r="HL75" s="99"/>
      <c r="HM75" s="99"/>
      <c r="HN75" s="99"/>
      <c r="HO75" s="99"/>
      <c r="HP75" s="99"/>
      <c r="HQ75" s="99"/>
      <c r="HR75" s="99"/>
      <c r="HS75" s="99"/>
      <c r="HT75" s="99"/>
      <c r="HU75" s="99"/>
      <c r="HV75" s="99"/>
      <c r="HW75" s="99"/>
      <c r="HX75" s="99"/>
      <c r="HY75" s="99"/>
      <c r="HZ75" s="99"/>
      <c r="IA75" s="99"/>
      <c r="IB75" s="99"/>
      <c r="IC75" s="99"/>
      <c r="ID75" s="99"/>
      <c r="IE75" s="99"/>
      <c r="IF75" s="99"/>
      <c r="IG75" s="99"/>
      <c r="IH75" s="99"/>
      <c r="II75" s="99"/>
      <c r="IJ75" s="99"/>
      <c r="IK75" s="99"/>
      <c r="IL75" s="99"/>
      <c r="IM75" s="99"/>
      <c r="IN75" s="99"/>
      <c r="IO75" s="99"/>
      <c r="IP75" s="99"/>
      <c r="IQ75" s="99"/>
      <c r="IR75" s="99"/>
      <c r="IS75" s="99"/>
      <c r="IT75" s="99"/>
      <c r="IU75" s="99"/>
      <c r="IV75" s="99"/>
      <c r="IW75" s="99"/>
    </row>
    <row r="76" spans="1:257" ht="9" customHeight="1" x14ac:dyDescent="0.25">
      <c r="A76" s="148" t="s">
        <v>230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96"/>
      <c r="Q76" s="96"/>
      <c r="R76" s="96"/>
      <c r="S76" s="96"/>
      <c r="T76" s="96"/>
      <c r="U76" s="97"/>
      <c r="V76" s="97"/>
      <c r="W76" s="97"/>
      <c r="X76" s="97"/>
      <c r="Y76" s="97"/>
      <c r="Z76" s="97"/>
      <c r="AA76" s="97"/>
      <c r="AB76" s="149" t="s">
        <v>231</v>
      </c>
      <c r="AC76" s="149"/>
      <c r="AD76" s="149"/>
      <c r="AE76" s="149"/>
      <c r="AF76" s="149"/>
      <c r="AG76" s="149"/>
      <c r="AH76" s="149"/>
      <c r="AI76" s="149"/>
      <c r="AJ76" s="149"/>
    </row>
    <row r="77" spans="1:257" ht="12.75" customHeight="1" x14ac:dyDescent="0.25">
      <c r="A77" s="99" t="s">
        <v>233</v>
      </c>
    </row>
    <row r="78" spans="1:257" ht="10.5" customHeight="1" x14ac:dyDescent="0.25">
      <c r="A78" s="99" t="s">
        <v>234</v>
      </c>
    </row>
    <row r="79" spans="1:257" ht="21.75" customHeight="1" x14ac:dyDescent="0.3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147"/>
      <c r="AC79" s="147"/>
      <c r="AD79" s="147"/>
      <c r="AE79" s="147"/>
      <c r="AF79" s="147"/>
      <c r="AG79" s="147"/>
      <c r="AH79" s="147"/>
      <c r="AI79" s="147"/>
      <c r="AJ79" s="147"/>
    </row>
    <row r="80" spans="1:257" ht="8.25" customHeight="1" x14ac:dyDescent="0.25">
      <c r="A80" s="148" t="s">
        <v>230</v>
      </c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96"/>
      <c r="Q80" s="96"/>
      <c r="R80" s="96"/>
      <c r="S80" s="96"/>
      <c r="T80" s="96"/>
      <c r="U80" s="97"/>
      <c r="V80" s="97"/>
      <c r="W80" s="97"/>
      <c r="X80" s="97"/>
      <c r="Y80" s="97"/>
      <c r="Z80" s="97"/>
      <c r="AA80" s="97"/>
      <c r="AB80" s="149" t="s">
        <v>231</v>
      </c>
      <c r="AC80" s="149"/>
      <c r="AD80" s="149"/>
      <c r="AE80" s="149"/>
      <c r="AF80" s="149"/>
      <c r="AG80" s="149"/>
      <c r="AH80" s="149"/>
      <c r="AI80" s="149"/>
      <c r="AJ80" s="149"/>
    </row>
    <row r="81" spans="1:36" ht="37.5" customHeight="1" x14ac:dyDescent="0.25">
      <c r="A81" s="150" t="s">
        <v>203</v>
      </c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0"/>
      <c r="AE81" s="150"/>
      <c r="AF81" s="150"/>
      <c r="AG81" s="150"/>
      <c r="AH81" s="150"/>
      <c r="AI81" s="150"/>
      <c r="AJ81" s="150"/>
    </row>
    <row r="82" spans="1:36" ht="15" customHeight="1" x14ac:dyDescent="0.3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147"/>
      <c r="AC82" s="147"/>
      <c r="AD82" s="147"/>
      <c r="AE82" s="147"/>
      <c r="AF82" s="147"/>
      <c r="AG82" s="147"/>
      <c r="AH82" s="147"/>
      <c r="AI82" s="147"/>
      <c r="AJ82" s="147"/>
    </row>
    <row r="83" spans="1:36" ht="8.25" customHeight="1" x14ac:dyDescent="0.25">
      <c r="A83" s="148" t="s">
        <v>230</v>
      </c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96"/>
      <c r="Q83" s="96"/>
      <c r="R83" s="96"/>
      <c r="S83" s="96"/>
      <c r="T83" s="96"/>
      <c r="U83" s="97"/>
      <c r="V83" s="97"/>
      <c r="W83" s="97"/>
      <c r="X83" s="97"/>
      <c r="Y83" s="97"/>
      <c r="Z83" s="97"/>
      <c r="AA83" s="97"/>
      <c r="AB83" s="149" t="s">
        <v>231</v>
      </c>
      <c r="AC83" s="149"/>
      <c r="AD83" s="149"/>
      <c r="AE83" s="149"/>
      <c r="AF83" s="149"/>
      <c r="AG83" s="149"/>
      <c r="AH83" s="149"/>
      <c r="AI83" s="149"/>
      <c r="AJ83" s="149"/>
    </row>
    <row r="84" spans="1:36" ht="34.5" customHeight="1" x14ac:dyDescent="0.25">
      <c r="A84" s="150" t="s">
        <v>237</v>
      </c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  <c r="AA84" s="150"/>
      <c r="AB84" s="150"/>
      <c r="AC84" s="150"/>
      <c r="AD84" s="150"/>
      <c r="AE84" s="150"/>
      <c r="AF84" s="150"/>
      <c r="AG84" s="150"/>
      <c r="AH84" s="150"/>
      <c r="AI84" s="150"/>
      <c r="AJ84" s="150"/>
    </row>
    <row r="85" spans="1:36" ht="28.5" customHeight="1" x14ac:dyDescent="0.3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147"/>
      <c r="AC85" s="147"/>
      <c r="AD85" s="147"/>
      <c r="AE85" s="147"/>
      <c r="AF85" s="147"/>
      <c r="AG85" s="147"/>
      <c r="AH85" s="147"/>
      <c r="AI85" s="147"/>
      <c r="AJ85" s="147"/>
    </row>
    <row r="86" spans="1:36" ht="12" customHeight="1" x14ac:dyDescent="0.25">
      <c r="A86" s="148" t="s">
        <v>230</v>
      </c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96"/>
      <c r="Q86" s="96"/>
      <c r="R86" s="96"/>
      <c r="S86" s="96"/>
      <c r="T86" s="96"/>
      <c r="U86" s="97"/>
      <c r="V86" s="97"/>
      <c r="W86" s="97"/>
      <c r="X86" s="97"/>
      <c r="Y86" s="97"/>
      <c r="Z86" s="97"/>
      <c r="AA86" s="97"/>
      <c r="AB86" s="149" t="s">
        <v>231</v>
      </c>
      <c r="AC86" s="149"/>
      <c r="AD86" s="149"/>
      <c r="AE86" s="149"/>
      <c r="AF86" s="149"/>
      <c r="AG86" s="149"/>
      <c r="AH86" s="149"/>
      <c r="AI86" s="149"/>
      <c r="AJ86" s="149"/>
    </row>
    <row r="87" spans="1:36" ht="9" customHeight="1" x14ac:dyDescent="0.25"/>
    <row r="88" spans="1:36" ht="12" customHeight="1" x14ac:dyDescent="0.25"/>
  </sheetData>
  <mergeCells count="82"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  <mergeCell ref="A33:AJ33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A49:AJ49"/>
    <mergeCell ref="A34:AJ34"/>
    <mergeCell ref="A35:AJ35"/>
    <mergeCell ref="A36:AJ36"/>
    <mergeCell ref="A37:AJ37"/>
    <mergeCell ref="A39:AJ39"/>
    <mergeCell ref="A40:AJ40"/>
    <mergeCell ref="A43:AJ43"/>
    <mergeCell ref="A44:AJ44"/>
    <mergeCell ref="A46:AJ46"/>
    <mergeCell ref="A47:AJ47"/>
    <mergeCell ref="P48:AJ48"/>
    <mergeCell ref="A50:AJ50"/>
    <mergeCell ref="G52:AJ52"/>
    <mergeCell ref="A53:AJ53"/>
    <mergeCell ref="M54:N54"/>
    <mergeCell ref="P54:S54"/>
    <mergeCell ref="U54:W54"/>
    <mergeCell ref="A69:O69"/>
    <mergeCell ref="AB69:AJ69"/>
    <mergeCell ref="M55:N55"/>
    <mergeCell ref="P55:S55"/>
    <mergeCell ref="U55:W55"/>
    <mergeCell ref="O57:AJ57"/>
    <mergeCell ref="A59:AJ59"/>
    <mergeCell ref="A60:AJ60"/>
    <mergeCell ref="L61:AJ61"/>
    <mergeCell ref="H62:I62"/>
    <mergeCell ref="A64:AJ64"/>
    <mergeCell ref="A65:AJ65"/>
    <mergeCell ref="A66:AJ66"/>
    <mergeCell ref="A70:O70"/>
    <mergeCell ref="AB70:AJ70"/>
    <mergeCell ref="A71:AJ71"/>
    <mergeCell ref="A72:O72"/>
    <mergeCell ref="A73:O73"/>
    <mergeCell ref="AB73:AJ73"/>
    <mergeCell ref="A83:O83"/>
    <mergeCell ref="AB83:AJ83"/>
    <mergeCell ref="A75:O75"/>
    <mergeCell ref="AB75:AJ75"/>
    <mergeCell ref="A76:O76"/>
    <mergeCell ref="AB76:AJ76"/>
    <mergeCell ref="A79:O79"/>
    <mergeCell ref="AB79:AJ79"/>
    <mergeCell ref="A80:O80"/>
    <mergeCell ref="AB80:AJ80"/>
    <mergeCell ref="A81:AJ81"/>
    <mergeCell ref="A82:O82"/>
    <mergeCell ref="AB82:AJ82"/>
    <mergeCell ref="A84:AJ84"/>
    <mergeCell ref="A85:O85"/>
    <mergeCell ref="AB85:AJ85"/>
    <mergeCell ref="A86:O86"/>
    <mergeCell ref="AB86:AJ86"/>
  </mergeCells>
  <pageMargins left="0.78749999999999998" right="0.27569444444444402" top="0.39374999999999999" bottom="0.39374999999999999" header="0.511811023622047" footer="0.511811023622047"/>
  <pageSetup paperSize="9" scale="93" orientation="portrait" horizontalDpi="300" verticalDpi="300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2</vt:i4>
      </vt:variant>
    </vt:vector>
  </HeadingPairs>
  <TitlesOfParts>
    <vt:vector size="18" baseType="lpstr">
      <vt:lpstr>00 DATA</vt:lpstr>
      <vt:lpstr>01 Overview</vt:lpstr>
      <vt:lpstr>02 Acts - Data</vt:lpstr>
      <vt:lpstr>03 Acts - Breakdown</vt:lpstr>
      <vt:lpstr>04 Acts - Sealing</vt:lpstr>
      <vt:lpstr>05 Acts - AOSR</vt:lpstr>
      <vt:lpstr>06 Acts - Supervision</vt:lpstr>
      <vt:lpstr>07 Acts - Acceptance</vt:lpstr>
      <vt:lpstr>08 Acts - PP</vt:lpstr>
      <vt:lpstr>09 Acts - Inspection</vt:lpstr>
      <vt:lpstr>10 Acts - Alignment</vt:lpstr>
      <vt:lpstr>11 Acts - Pipe Welding</vt:lpstr>
      <vt:lpstr>12 Acts - Inventory</vt:lpstr>
      <vt:lpstr>13 AOSR - Data</vt:lpstr>
      <vt:lpstr>14 AOSR - Page 1</vt:lpstr>
      <vt:lpstr>15 AOSR - Page 2</vt:lpstr>
      <vt:lpstr>'14 AOSR - Page 1'!Область_печати</vt:lpstr>
      <vt:lpstr>'15 AOSR - Page 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Алексей Кубкуб</cp:lastModifiedBy>
  <cp:revision>0</cp:revision>
  <dcterms:created xsi:type="dcterms:W3CDTF">2026-03-05T14:36:23Z</dcterms:created>
  <dcterms:modified xsi:type="dcterms:W3CDTF">2026-03-18T08:07:33Z</dcterms:modified>
  <dc:language>en-US</dc:language>
</cp:coreProperties>
</file>