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ubko\projects\gnb-bot\templates\"/>
    </mc:Choice>
  </mc:AlternateContent>
  <xr:revisionPtr revIDLastSave="0" documentId="13_ncr:1_{905A4CEB-FF47-48CA-AE66-F13061B756DE}" xr6:coauthVersionLast="47" xr6:coauthVersionMax="47" xr10:uidLastSave="{00000000-0000-0000-0000-000000000000}"/>
  <bookViews>
    <workbookView xWindow="1848" yWindow="1848" windowWidth="23040" windowHeight="12120" tabRatio="500" firstSheet="11" activeTab="14" xr2:uid="{00000000-000D-0000-FFFF-FFFF00000000}"/>
  </bookViews>
  <sheets>
    <sheet name="01 Overview" sheetId="12" r:id="rId1"/>
    <sheet name="02 Acts - Data" sheetId="1" r:id="rId2"/>
    <sheet name="03 Acts - Breakdown" sheetId="2" r:id="rId3"/>
    <sheet name="04 Acts - Sealing" sheetId="3" r:id="rId4"/>
    <sheet name="05 Acts - AOSR" sheetId="4" r:id="rId5"/>
    <sheet name="06 Acts - Supervision" sheetId="5" r:id="rId6"/>
    <sheet name="07 Acts - Acceptance" sheetId="6" r:id="rId7"/>
    <sheet name="08 Acts - PP" sheetId="7" r:id="rId8"/>
    <sheet name="09 Acts - Inspection" sheetId="8" r:id="rId9"/>
    <sheet name="10 Acts - Alignment" sheetId="9" r:id="rId10"/>
    <sheet name="11 Acts - Pipe Welding" sheetId="10" r:id="rId11"/>
    <sheet name="12 Acts - Inventory" sheetId="11" r:id="rId12"/>
    <sheet name="13 AOSR - Data" sheetId="13" r:id="rId13"/>
    <sheet name="14 AOSR - Page 1" sheetId="14" r:id="rId14"/>
    <sheet name="15 AOSR - Page 2" sheetId="15" r:id="rId15"/>
  </sheets>
  <externalReferences>
    <externalReference r:id="rId16"/>
  </externalReferences>
  <definedNames>
    <definedName name="_xlfn_SINGLE" localSheetId="13">none</definedName>
    <definedName name="_xlfn_SINGLE" localSheetId="14">none</definedName>
    <definedName name="_xlfn_SINGLE">none</definedName>
    <definedName name="_xlnm.Print_Area" localSheetId="13">'14 AOSR - Page 1'!$A$1:$AJ$87</definedName>
    <definedName name="_xlnm.Print_Area" localSheetId="14">'15 AOSR - Page 2'!$A$1:$AJ$86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65" i="15" l="1"/>
  <c r="U55" i="15"/>
  <c r="P55" i="15"/>
  <c r="M55" i="15"/>
  <c r="U54" i="15"/>
  <c r="P54" i="15"/>
  <c r="M54" i="15"/>
  <c r="G52" i="15"/>
  <c r="A64" i="15" s="1"/>
  <c r="A46" i="15"/>
  <c r="O57" i="15" s="1"/>
  <c r="A43" i="15"/>
  <c r="A30" i="15"/>
  <c r="A27" i="15"/>
  <c r="A24" i="15"/>
  <c r="A22" i="15"/>
  <c r="AG18" i="15"/>
  <c r="AB18" i="15"/>
  <c r="Y18" i="15"/>
  <c r="C18" i="15"/>
  <c r="A13" i="15"/>
  <c r="A10" i="15"/>
  <c r="A7" i="15"/>
  <c r="A4" i="15"/>
  <c r="A63" i="14"/>
  <c r="A41" i="14"/>
  <c r="A52" i="14" s="1"/>
  <c r="A39" i="14"/>
  <c r="AG18" i="14"/>
  <c r="AB18" i="14"/>
  <c r="Y18" i="14"/>
  <c r="C18" i="14"/>
  <c r="B8" i="13"/>
  <c r="B7" i="13"/>
  <c r="B6" i="13"/>
  <c r="B4" i="13"/>
  <c r="A24" i="11"/>
  <c r="B22" i="11"/>
  <c r="A22" i="11"/>
  <c r="A20" i="11"/>
  <c r="K15" i="11"/>
  <c r="C15" i="11"/>
  <c r="C13" i="11"/>
  <c r="A11" i="11"/>
  <c r="C9" i="11"/>
  <c r="C8" i="11"/>
  <c r="C4" i="11"/>
  <c r="C3" i="11"/>
  <c r="C2" i="11"/>
  <c r="C1" i="11"/>
  <c r="A39" i="10"/>
  <c r="A37" i="10"/>
  <c r="D28" i="10"/>
  <c r="D26" i="10"/>
  <c r="E24" i="10"/>
  <c r="H22" i="10"/>
  <c r="D22" i="10"/>
  <c r="C18" i="10"/>
  <c r="E17" i="10"/>
  <c r="E14" i="10"/>
  <c r="A13" i="10"/>
  <c r="A12" i="10"/>
  <c r="A11" i="10"/>
  <c r="C4" i="10"/>
  <c r="C3" i="10"/>
  <c r="C2" i="10"/>
  <c r="C1" i="10"/>
  <c r="A37" i="9"/>
  <c r="A35" i="9"/>
  <c r="D26" i="9"/>
  <c r="D24" i="9"/>
  <c r="E22" i="9"/>
  <c r="H20" i="9"/>
  <c r="D20" i="9"/>
  <c r="C18" i="9"/>
  <c r="F17" i="9"/>
  <c r="E14" i="9"/>
  <c r="A12" i="9"/>
  <c r="A11" i="9"/>
  <c r="C4" i="9"/>
  <c r="C3" i="9"/>
  <c r="C2" i="9"/>
  <c r="C1" i="9"/>
  <c r="B45" i="8"/>
  <c r="B44" i="8"/>
  <c r="B43" i="8"/>
  <c r="B42" i="8"/>
  <c r="E33" i="8"/>
  <c r="E31" i="8"/>
  <c r="A26" i="8"/>
  <c r="F24" i="8"/>
  <c r="F22" i="8"/>
  <c r="E18" i="8"/>
  <c r="C16" i="8"/>
  <c r="C15" i="8"/>
  <c r="C14" i="8"/>
  <c r="C13" i="8"/>
  <c r="A11" i="8"/>
  <c r="A9" i="8"/>
  <c r="F6" i="8"/>
  <c r="G4" i="8"/>
  <c r="A38" i="7"/>
  <c r="A36" i="7"/>
  <c r="D28" i="7"/>
  <c r="D26" i="7"/>
  <c r="E24" i="7"/>
  <c r="E22" i="7"/>
  <c r="H20" i="7"/>
  <c r="D20" i="7"/>
  <c r="C18" i="7"/>
  <c r="D17" i="7"/>
  <c r="E14" i="7"/>
  <c r="A12" i="7"/>
  <c r="A11" i="7"/>
  <c r="C4" i="7"/>
  <c r="C3" i="7"/>
  <c r="C2" i="7"/>
  <c r="C1" i="7"/>
  <c r="A35" i="6"/>
  <c r="A33" i="6"/>
  <c r="D24" i="6"/>
  <c r="D22" i="6"/>
  <c r="H20" i="6"/>
  <c r="D20" i="6"/>
  <c r="A18" i="6"/>
  <c r="D17" i="6"/>
  <c r="E14" i="6"/>
  <c r="A12" i="6"/>
  <c r="A11" i="6"/>
  <c r="C4" i="6"/>
  <c r="C3" i="6"/>
  <c r="C2" i="6"/>
  <c r="C1" i="6"/>
  <c r="A39" i="5"/>
  <c r="A37" i="5"/>
  <c r="D29" i="5"/>
  <c r="D27" i="5"/>
  <c r="E25" i="5"/>
  <c r="H23" i="5"/>
  <c r="D23" i="5"/>
  <c r="A17" i="5"/>
  <c r="E15" i="5"/>
  <c r="E14" i="5"/>
  <c r="A12" i="5"/>
  <c r="A11" i="5"/>
  <c r="C4" i="5"/>
  <c r="C3" i="5"/>
  <c r="C2" i="5"/>
  <c r="C1" i="5"/>
  <c r="A34" i="4"/>
  <c r="A32" i="4"/>
  <c r="E26" i="4"/>
  <c r="D21" i="4"/>
  <c r="D20" i="4"/>
  <c r="E19" i="4"/>
  <c r="D19" i="4"/>
  <c r="H18" i="4"/>
  <c r="F18" i="4"/>
  <c r="D18" i="4"/>
  <c r="F15" i="4"/>
  <c r="A15" i="4"/>
  <c r="A12" i="4"/>
  <c r="A11" i="4"/>
  <c r="C4" i="4"/>
  <c r="C3" i="4"/>
  <c r="C2" i="4"/>
  <c r="C1" i="4"/>
  <c r="A37" i="3"/>
  <c r="A35" i="3"/>
  <c r="D26" i="3"/>
  <c r="D24" i="3"/>
  <c r="E22" i="3"/>
  <c r="H20" i="3"/>
  <c r="D20" i="3"/>
  <c r="C18" i="3"/>
  <c r="F17" i="3"/>
  <c r="E14" i="3"/>
  <c r="A12" i="3"/>
  <c r="A11" i="3"/>
  <c r="C4" i="3"/>
  <c r="C3" i="3"/>
  <c r="C2" i="3"/>
  <c r="C1" i="3"/>
  <c r="A31" i="2"/>
  <c r="A28" i="2"/>
  <c r="F21" i="2"/>
  <c r="D15" i="2"/>
  <c r="J14" i="2"/>
  <c r="A12" i="2"/>
  <c r="C4" i="2"/>
  <c r="C3" i="2"/>
  <c r="C2" i="2"/>
  <c r="C1" i="2"/>
  <c r="E31" i="1"/>
  <c r="K13" i="11" l="1"/>
  <c r="K14" i="11" s="1"/>
  <c r="E20" i="4"/>
  <c r="H31" i="1"/>
  <c r="E20" i="10" s="1"/>
</calcChain>
</file>

<file path=xl/sharedStrings.xml><?xml version="1.0" encoding="utf-8"?>
<sst xmlns="http://schemas.openxmlformats.org/spreadsheetml/2006/main" count="433" uniqueCount="255">
  <si>
    <t>ШАБЛОН АКТОВ ГНБ — Лист1 (заполняется ботом)</t>
  </si>
  <si>
    <t>ИДЕНТИФИКАЦИЯ</t>
  </si>
  <si>
    <t>Наименование объекта (КЛ ГНБ)</t>
  </si>
  <si>
    <t>ГНБ 10-1С г. Москва, ул. Кантемировская, д.60</t>
  </si>
  <si>
    <t>Название стройки / объект</t>
  </si>
  <si>
    <t>"Строительство улично-дорожной сети с искусственными сооружениями и переустройством инженерных коммуникаций на участке от ул. Маршала Шестопалова до Павелецкого направления Московской железной дороги"</t>
  </si>
  <si>
    <t>Адрес</t>
  </si>
  <si>
    <t>По адресу: г. Москва, ул. Кантемировская, д.60</t>
  </si>
  <si>
    <t>Номер ГНБ перехода</t>
  </si>
  <si>
    <t>ГНБ № 10-1С</t>
  </si>
  <si>
    <t>Номер/шифр проекта</t>
  </si>
  <si>
    <t>ИМ-19-4-Р-3.2Э-ЗП2</t>
  </si>
  <si>
    <t>Дата начала работ</t>
  </si>
  <si>
    <t>01.06.2024 г.</t>
  </si>
  <si>
    <t>Дата окончания работ</t>
  </si>
  <si>
    <t>03.06.2024 г.</t>
  </si>
  <si>
    <t>Исполнитель (организация)</t>
  </si>
  <si>
    <t>ООО «Резонанс-Энерго»</t>
  </si>
  <si>
    <t>Дата завершения работ</t>
  </si>
  <si>
    <t>ОРГАНИЗАЦИИ</t>
  </si>
  <si>
    <t>Заказчик</t>
  </si>
  <si>
    <t>ГКУ «УДМС»</t>
  </si>
  <si>
    <t>Подрядчик</t>
  </si>
  <si>
    <t>Проектировщик</t>
  </si>
  <si>
    <t>АО "МОСИНЖПРОЕКТ"</t>
  </si>
  <si>
    <t>ПОДПИСАНТЫ</t>
  </si>
  <si>
    <t>Кто</t>
  </si>
  <si>
    <t>Описание (организация + должность + ФИО)</t>
  </si>
  <si>
    <t>Подпись для актов (с чертой)</t>
  </si>
  <si>
    <t>Подписант 1 (заказчик)</t>
  </si>
  <si>
    <t xml:space="preserve">Представитель ЮРЭС АО "ОЭК" </t>
  </si>
  <si>
    <t>Представитель Южного РЭС АО "ОЭК" ____________________</t>
  </si>
  <si>
    <t>Подписант 2 (подрядчик)</t>
  </si>
  <si>
    <t>Начальник участка ООО «Резонанс-Энерго» Борков Е.А</t>
  </si>
  <si>
    <t>Начальник участка ООО «Резонанс-Энерго» ______________________Борков Е.А</t>
  </si>
  <si>
    <t>Подписант 3 (опцион.)</t>
  </si>
  <si>
    <t xml:space="preserve"> </t>
  </si>
  <si>
    <t>Инженер-геодезист ООО «Резонанс-Энерго» ______________________Минаков Н.А.</t>
  </si>
  <si>
    <t>Тех.надзор (= подп. 1?)</t>
  </si>
  <si>
    <t>Представитель Южного РЭС АО "ОЭК" и АО "ОЭК"</t>
  </si>
  <si>
    <t>Подписант 3: если пусто — не печатается на листах</t>
  </si>
  <si>
    <t>ТРУБА</t>
  </si>
  <si>
    <t>Марка трубы (полная, с паспортом)</t>
  </si>
  <si>
    <t>Труба "ПЭ тип "С" 110*6,3 техническая (L012) (паспорт  качества от 23.08.2021г.)</t>
  </si>
  <si>
    <t>Диаметр трубы</t>
  </si>
  <si>
    <t xml:space="preserve"> d=110 мм.</t>
  </si>
  <si>
    <t>ПАРАМЕТРЫ ГНБ</t>
  </si>
  <si>
    <t>Номер ГНБ</t>
  </si>
  <si>
    <t>L план</t>
  </si>
  <si>
    <t>L профиль</t>
  </si>
  <si>
    <t>Кол-во труб</t>
  </si>
  <si>
    <t>L трубы</t>
  </si>
  <si>
    <t>d скв</t>
  </si>
  <si>
    <t>Конфигурация</t>
  </si>
  <si>
    <t>Стыки</t>
  </si>
  <si>
    <t>2тр. D=110мм.</t>
  </si>
  <si>
    <t>↑ Данные из этой таблицы используются в АОСР</t>
  </si>
  <si>
    <t>Заказчик:</t>
  </si>
  <si>
    <t xml:space="preserve"> Подрядчик:</t>
  </si>
  <si>
    <t>Объект:</t>
  </si>
  <si>
    <t>Дата:</t>
  </si>
  <si>
    <t>АКТ</t>
  </si>
  <si>
    <t>разбивки закрытого перехода методом ГНБ</t>
  </si>
  <si>
    <t>Комиссия в составе представителей:</t>
  </si>
  <si>
    <t>Инженер-геодезист ООО "Резонанс-Энерго" Минаков Н.А.</t>
  </si>
  <si>
    <t>Представитель ЮРЭС АО "ОЭК"</t>
  </si>
  <si>
    <t>составили настоящий акт о том, что произведена геодезическая разбивка закрытого перехода</t>
  </si>
  <si>
    <t xml:space="preserve">выполняемого методом ГНБ </t>
  </si>
  <si>
    <t>Выполнены следующие работы:</t>
  </si>
  <si>
    <t>-привязка и разбивка приемного и рабочего котлованов к зданиям и сооружениям;</t>
  </si>
  <si>
    <t>-геодезическая разбивка осей перехода;</t>
  </si>
  <si>
    <t xml:space="preserve">Геодезические работы на устройство закрытого перехода  </t>
  </si>
  <si>
    <t xml:space="preserve">методом ГНБ выполнены  </t>
  </si>
  <si>
    <t>в соответствии с СП 126.13330.2017 Геодезические работы в строительстве.</t>
  </si>
  <si>
    <t xml:space="preserve">Представитель  ЮРЭС АО "ОЭК"                             ________________                  </t>
  </si>
  <si>
    <t>Генподрядчик:</t>
  </si>
  <si>
    <t>герметизации концов труб закрытого перехода</t>
  </si>
  <si>
    <t>Произвела осмотр работ выполненных</t>
  </si>
  <si>
    <t>и составила настоящий акт о нижеследующем:</t>
  </si>
  <si>
    <t>1.      К освидетельствованию и приемке предъявлены следующие работы</t>
  </si>
  <si>
    <t>Герметизация концов труб закрытого перехода</t>
  </si>
  <si>
    <t>выполненного методом ГНБ</t>
  </si>
  <si>
    <t xml:space="preserve">Расположенного </t>
  </si>
  <si>
    <t>2. Работы выполнены по проекту</t>
  </si>
  <si>
    <t>Шифр:</t>
  </si>
  <si>
    <t>3. При выполнении работ применены заглушки</t>
  </si>
  <si>
    <t>4. Дата начала работ</t>
  </si>
  <si>
    <t xml:space="preserve">5. Дата окончания работ </t>
  </si>
  <si>
    <t>РЕШЕНИЕ КОМИССИИ</t>
  </si>
  <si>
    <t>Работы выполнены в соответствии с проектом, стандартами, строительными нормами и отвечают требованиям их приемки.</t>
  </si>
  <si>
    <t>На основании изложенного разрешается обратная засыпка приемного и рабочего котлована строительным песком.</t>
  </si>
  <si>
    <t xml:space="preserve">На скрытые работы закрытого перехода выполненного методом ГНБ </t>
  </si>
  <si>
    <t>составили настоящий акт о том, что осмотрены выполненные работы по строительству закрытого перехода</t>
  </si>
  <si>
    <t>методом ГНБ</t>
  </si>
  <si>
    <t>При осмотре установлено:</t>
  </si>
  <si>
    <t>1.</t>
  </si>
  <si>
    <t>Длина закрытого перехода</t>
  </si>
  <si>
    <t>по плану</t>
  </si>
  <si>
    <t>по профилю</t>
  </si>
  <si>
    <t>Количество трубоканалов</t>
  </si>
  <si>
    <t>Общая длина трубоканалов</t>
  </si>
  <si>
    <t>Труба марки</t>
  </si>
  <si>
    <t>Заглушки установлены</t>
  </si>
  <si>
    <t>Трубоканалы пронумерованы, загерметизированы и проходимы</t>
  </si>
  <si>
    <t>Работы выполнены согласно проекта с качеством, удовлетворяющим заказчика</t>
  </si>
  <si>
    <t xml:space="preserve">Работы по устройство закрытого перехода  </t>
  </si>
  <si>
    <t xml:space="preserve">методом ГНБ выполнены в соответствии </t>
  </si>
  <si>
    <t xml:space="preserve">с СП 48.13330.2019 СНиП 12.01-2004 Организация строительства. </t>
  </si>
  <si>
    <t>Технического надзора по устройству закрытого перехода методом ГНБ</t>
  </si>
  <si>
    <t xml:space="preserve">1. Устройство закрытого перехода методом ГНБ </t>
  </si>
  <si>
    <t xml:space="preserve">производилось под непрерывным техническим надзором персонала </t>
  </si>
  <si>
    <t xml:space="preserve">Все технические указания </t>
  </si>
  <si>
    <t xml:space="preserve">уполномоченных лиц выполнены в полном объеме в соответствии с правилами устройства закрытых переходов </t>
  </si>
  <si>
    <t>и производственных инструкций.</t>
  </si>
  <si>
    <t>Технические хар-ки ГНБ Машины: DDW 36/13 , мощностью, кВт – 140</t>
  </si>
  <si>
    <t>Качество работ удовлетворительно.</t>
  </si>
  <si>
    <t>3. При выполнении работ применены Трубы</t>
  </si>
  <si>
    <t>На основании изложенного разрешается производство последующих работ по прокладке кабельной линии</t>
  </si>
  <si>
    <t>технической приемки готового закрытого перехода</t>
  </si>
  <si>
    <t xml:space="preserve">устройство закрытого перехода </t>
  </si>
  <si>
    <t>3. Дата начала работ</t>
  </si>
  <si>
    <t xml:space="preserve">4. Дата окончания работ </t>
  </si>
  <si>
    <t>сдачи-приемки сооружения под прокладку КЛ</t>
  </si>
  <si>
    <t>Строительство закрытого перехода</t>
  </si>
  <si>
    <t>3. При выполнении работ применена труба</t>
  </si>
  <si>
    <t>4. При выполнении работ применены заглушки</t>
  </si>
  <si>
    <t>5. Дата начала работ</t>
  </si>
  <si>
    <t xml:space="preserve">6. Дата окончания работ </t>
  </si>
  <si>
    <t>освидетельствования скрытых работ</t>
  </si>
  <si>
    <t>г. Москва</t>
  </si>
  <si>
    <t>Сооружение закрытого перехода</t>
  </si>
  <si>
    <t>(наименование работ)</t>
  </si>
  <si>
    <t>(наименование здания, сооружения)</t>
  </si>
  <si>
    <t>(район застройки, квартал, улица, № дома и корпуса)</t>
  </si>
  <si>
    <t>Комиссия в составе</t>
  </si>
  <si>
    <t>представителей:</t>
  </si>
  <si>
    <t>Ф.И.О., организация)</t>
  </si>
  <si>
    <t>1.      К освидетельствованию и приемке предъявлены следующие работы_______________________.</t>
  </si>
  <si>
    <t>Устройство закрытого перехода</t>
  </si>
  <si>
    <t xml:space="preserve"> (наименование скрытых работ)</t>
  </si>
  <si>
    <t> </t>
  </si>
  <si>
    <t xml:space="preserve"> (проект серии, наименование проектной организации, № чертежей и дата их составления)</t>
  </si>
  <si>
    <t>3.      При выполнении работ применены следующие материалы:</t>
  </si>
  <si>
    <t xml:space="preserve">заглушки 225 мм трубы проходимы; капроновый шнур затянут; заглушки установлены     </t>
  </si>
  <si>
    <t>(наименование материалов, конструкций с указанием марки, типа, категории качества и т.п.)</t>
  </si>
  <si>
    <t xml:space="preserve">Работы выполнены в соответствии с проектом, стандартами, строительными нормами и </t>
  </si>
  <si>
    <t>отвечают требованиям их приемки.</t>
  </si>
  <si>
    <t>На основании изложенного разрешается производство работ по устройству (монтажу)</t>
  </si>
  <si>
    <t>прокладку эл. кабеля в закрытый переход</t>
  </si>
  <si>
    <t>проверки трубных переходов на соосность</t>
  </si>
  <si>
    <t>проверка на соосность труб закрытого перехода</t>
  </si>
  <si>
    <t>сварки трубы</t>
  </si>
  <si>
    <t>сварка плетей труб для закрытого перехода</t>
  </si>
  <si>
    <t>выполняемого методом ГНБ</t>
  </si>
  <si>
    <t>2. Количество предъявляемых сварочных стыков:</t>
  </si>
  <si>
    <t>3. Работы выполнены по проекту</t>
  </si>
  <si>
    <t>4. При выполнении работ применены Трубы</t>
  </si>
  <si>
    <t>На основании изложенного разрешается затяжка пэ труб в скважину закрытого перехода.</t>
  </si>
  <si>
    <t>ИНВЕНТАРНАЯ ОПИСЬ</t>
  </si>
  <si>
    <t>ЭЛЕМЕНТОВ ЗАКРЫТОГО ПЕРЕХОДА</t>
  </si>
  <si>
    <t>Закрытый переход</t>
  </si>
  <si>
    <t>Расположенный</t>
  </si>
  <si>
    <t>№ п.п.</t>
  </si>
  <si>
    <t>Материалы</t>
  </si>
  <si>
    <t>Ед. изм.</t>
  </si>
  <si>
    <t>Кол-во</t>
  </si>
  <si>
    <t>Труба</t>
  </si>
  <si>
    <t>м.п.</t>
  </si>
  <si>
    <t xml:space="preserve">Капроновый шнур </t>
  </si>
  <si>
    <t>Заглушки</t>
  </si>
  <si>
    <t>шт</t>
  </si>
  <si>
    <t>GNB master template: internal acts + AOSR</t>
  </si>
  <si>
    <t>What is inside:
1. Sheets 02-12 = internal acts workbook.
2. Sheets 13-15 = AOSR workbook.
3. This file is a master template for unification and future move to one data layer.
4. It is not wired into runtime yet.
How to use:
- print selected sheets/pages as needed;
- keep this workbook as the analysis and redesign base.</t>
  </si>
  <si>
    <t>переход №</t>
  </si>
  <si>
    <t>Lпр=</t>
  </si>
  <si>
    <t>Длина труб=</t>
  </si>
  <si>
    <t>Дата начала</t>
  </si>
  <si>
    <t>Дата окончания</t>
  </si>
  <si>
    <t>Дата АОСР</t>
  </si>
  <si>
    <t>Приказ Минстроя  №344/пр от 16.05.2023</t>
  </si>
  <si>
    <t>приложение №2</t>
  </si>
  <si>
    <t>Объект капитального строительства</t>
  </si>
  <si>
    <t>(наименование объекта капитального строительства в соответствии с проектной документацией, почтовый или строительный адрес объекта капитального строительства)</t>
  </si>
  <si>
    <t>Застройщик, технический заказчик, лицо, ответственное за  эксплуатацию здания, сооружения, или региональный оператор</t>
  </si>
  <si>
    <t>(ФИО, адрес места жительства, ОГРНИП, ИНН индивидуального предпринимателя, полное или сокращенное наименование,  ОГРН, ИНН, адрес  юр. лица в пределах его нахождения, телефон или факс, полное и (или) сокращенное наименование,  ОГРН, ИНН саморегулируемой организации, членом которой является указанное юридическое лицо или  индивидуальный предприниматель (за исключением случаев, когда членство в саморегулируемых организациях в области, строительства, реконструкции, капитального ремонта объектов капитального строительства не требуется); ФИО, паспортные данные, адрес места жительства, телефон или факс - для физических лиц, не являющихся индивидуальными предпринимателями)</t>
  </si>
  <si>
    <t>Лицо, осуществляющее строительство, реконструкцию, капитальный ремонт</t>
  </si>
  <si>
    <t>(фамилия, имя, отчество (последнее -  при наличии), адрес места жительства, ОГРНИП, ИНН индивидуального предпринимателя, полное и (или) сокращенное наименование,  ОГРН, ИНН, адрес юридического лица в пределах его местонахождения, телефон или факс, полное или сокращенное наименование,  ОГРН, ИНН саморегулируемой организации, членом которой является указанное юр. лицо или  индивидуальный предприниматель (за исключением случаев, когда членство в саморегулируемых организациях в области строительства, реконструкции, капитального ремонта объектов капитального строительства не требуется)</t>
  </si>
  <si>
    <t>Лицо, осуществляющее подготовку проектной документации</t>
  </si>
  <si>
    <t>(ФИО, адрес места жительства, ОГРНИП, ИНН индивидуального предпринимателя, полное или сокращенное наименование,  ОГРН, ИНН, адрес юр. лица в пределах его места нахождения, телефон или факс, полное и (или) сокращенное наименование,  ОГРН, ИНН саморегулируемой организации, членом которой является указанное юр. лицо или  индивидуальный предприниматель (за исключением случаев, когда членство в саморегулируемых организациях в области архитектурно-строительного проектирования не требуется)</t>
  </si>
  <si>
    <t>разбивки осей объекта капитального строительства на местности</t>
  </si>
  <si>
    <t>№</t>
  </si>
  <si>
    <t>"</t>
  </si>
  <si>
    <t>г.</t>
  </si>
  <si>
    <t>(дата составления акта)</t>
  </si>
  <si>
    <t>Представитель застройщика, технического заказчика, лица, ответственного за эксплуатацию здания, сооружения, или регионального оператора по вопросам строительного контроля</t>
  </si>
  <si>
    <t>Представитель застройщика, технического заказчика, лица, ответственного за эксплуатацию здания, сооружения</t>
  </si>
  <si>
    <t>Акимов Ю.О.</t>
  </si>
  <si>
    <t>Панин Д.А.</t>
  </si>
  <si>
    <t xml:space="preserve">(должность (при наличии), фамилия, инициалы, идентификационный номер в национальном реестре специалистов в области строительства (за исключением случаев, когда членство в саморегулируемых организациях в области строительства, реконструкции, капитального ремонта объектов капитального строительства не требуется), реквизиты распорядительного документа, подтверждающего полномочия, с указанием полного или сокращенного наименования, ОГРН, ИНН, адреса юр. лица в пределах его места нахождения , ФИО, адреса места жительства, ОГРНИП, ИНН индивидуального предпринимателя </t>
  </si>
  <si>
    <t>Представитель лица, осуществляющего строительство, реконструкцию, капитальный ремонт</t>
  </si>
  <si>
    <t>(должность (при наличии), фамилия, инициалы, реквизиты распорядительного документа, подтверждающего полномочия)</t>
  </si>
  <si>
    <t>Представитель лица, осуществляющего строительство, реконструкцию, капитальный ремонт, по вопросам строительного контроля</t>
  </si>
  <si>
    <t>(должность (при наличии), фамилия, инициалы, идентификационный номер в национальном реестре специалистов в области строительства (за исключением случаев, когда членство в саморегулируемых организациях в области строительства, реконструкции, капитального ремонта объектов капитального строительства не требуется), 
реквизиты распорядительного документа, подтверждающего полномочия)</t>
  </si>
  <si>
    <t>Представитель лица, осуществляющего подготовку проектной документации (в случае привлечения застройщиком лица, осуществляющего подготовку проектной документации, для проверки соответствия выполняемых работ проектной документации  согласно части 2 статьи 53 Градостроительного кодекса Российской Федерации)</t>
  </si>
  <si>
    <t>(должность (при наличии), фамилия, инициалы, реквизиты распорядительного документа, подтверждающего полномочия, с указанием полного или сокращенного наименования, ОГРН, ИНН, адреса юр. лица в пределах его места нахождения, фамилии, имени, отчества, адреса места жительства, ОГРНИП, ИНН индивидуального предпринимателя)</t>
  </si>
  <si>
    <t>Представитель лица, выполнившего работы по разбивке осей объекта капитального  строительства  на местности (в случае выполнения работ по договорам о строительстве, реконcтрукции, капитальном ремонте объектов капитального строительства, заключенным с иными лицами)</t>
  </si>
  <si>
    <t>(должность (при наличии), фамилия, инициалы, реквизиты распорядительного документа, подтверждающего полномочия, с указанием полного или сокращенного наименования, ОГРН, ИНН, адреса юр. лица в пределах его места нахождения, ФИО, адреса места жительства, ОГРНИП, ИНН индивидуального предпринимателя)</t>
  </si>
  <si>
    <t>составили настоящий акт о том, что произведена в натуре разбивка осей</t>
  </si>
  <si>
    <t>объекта капитального строительства</t>
  </si>
  <si>
    <t>(наименование объекта капитального строительства)</t>
  </si>
  <si>
    <t>При этом установлено:</t>
  </si>
  <si>
    <t>1.Разбивка произведена по данным</t>
  </si>
  <si>
    <t>(номер, другие реквизиты чертежа, наименование проектной документации)</t>
  </si>
  <si>
    <t>2. Закрепление осей произведено</t>
  </si>
  <si>
    <t>колышками разбивки при помощи геодезического оборудования.</t>
  </si>
  <si>
    <t>3. Обозначение осей, нумерация и расположение точек соответствует проектной документации.</t>
  </si>
  <si>
    <t>Разбивка осей объекта капитального строительства на местности соответствует требованиям проектной документации, а также техническим регламентам (нормам и правилам), иным нормативным правовым актам</t>
  </si>
  <si>
    <t xml:space="preserve">(номер, другие реквизиты чертежа, наименование проектной документации,  сведения о лицах, осуществляющих подготовку </t>
  </si>
  <si>
    <t>СП 126.13330.2017 «Геодезические работы в строительстве». СНиП 3.01.03-84</t>
  </si>
  <si>
    <t>раздела проектной рабочей документации, наименования и структурные единицы технических регламентов, иных нормативных правовых актов)</t>
  </si>
  <si>
    <t>и выполнена с соблюдением заданной точности построений и измерений.</t>
  </si>
  <si>
    <t>Дополнительные сведения</t>
  </si>
  <si>
    <t>отсутствуют</t>
  </si>
  <si>
    <t xml:space="preserve">Акт составлен в  </t>
  </si>
  <si>
    <t>экземплярах (в случае заполнения акта на бумажном носителе).</t>
  </si>
  <si>
    <t>Приложения:</t>
  </si>
  <si>
    <t>(схема закрепления осей)</t>
  </si>
  <si>
    <t>(исполнительные схемы и чертежи, результаты экспертиз, обследований, лабораторных и иных испытаний)</t>
  </si>
  <si>
    <t>Представитель застройщика, технического заказчика, лица, ответственного за эксплуатацию</t>
  </si>
  <si>
    <t>здания, сооружения, или регионального оператора по вопросам строительного контроля</t>
  </si>
  <si>
    <t>(фамилия, инициалы)</t>
  </si>
  <si>
    <t>(подпись)</t>
  </si>
  <si>
    <t>Представитель застройщика, технического заказчика, лица, ответственного за эксплуатацию здания</t>
  </si>
  <si>
    <t>Представитель лица, осуществляющего строительство, реконструкцию, капитальный ремонт,</t>
  </si>
  <si>
    <t>по вопросам строительного контроля</t>
  </si>
  <si>
    <t>Представитель лица, выполнившего работы по разбивке осей объекта капитального строительства на местности (в случае выполнения работ по договорам о строительстве, реконструкции, капитальном ремонте объектов капитального строительства, заключенным с иными лицами)</t>
  </si>
  <si>
    <t>приложение №3</t>
  </si>
  <si>
    <t>Представитель лица, выполнившего работы, подлежащие освидетельствованию (в случае выполнения работ по договорам о строительстве, реконcтрукции, капитальном ремонте объектов капитального строительства, заключенным с иными лицами)</t>
  </si>
  <si>
    <t>произвели осмотр работ, выполненных</t>
  </si>
  <si>
    <t>(полное и (или) сокращенное наименование или ФИО лица,  выполнившего работы, подлежащие освидетельствованию)</t>
  </si>
  <si>
    <t>и составили настоящий акт о нижеследующем:</t>
  </si>
  <si>
    <t>1. К освидетельствованию предъявлены следующие работы:</t>
  </si>
  <si>
    <t>(наименование скрытых работ)</t>
  </si>
  <si>
    <t>2. Работы выполнены по проектной документации</t>
  </si>
  <si>
    <t>(номер, другие реквизиты чертежа, наименование проектной и/или рабочей документации, 
 сведения о лицах, осуществляющих подготовку раздела проектной и/или рабочей документации)</t>
  </si>
  <si>
    <t>3. При выполнении работ применены</t>
  </si>
  <si>
    <t>(наименования строительных  материалов (изделий), реквизиты сертификатов или других документов, подтверждающих их качество и безопасность, 
в случае если необходимо указывать более 5 документов, указывается ссылка на их реестр, который является неотъемлемой частью акта)</t>
  </si>
  <si>
    <t xml:space="preserve">4. Предъявлены документы, подтверждающие соответствие работ предъявляемым к ним </t>
  </si>
  <si>
    <t>требованиям:</t>
  </si>
  <si>
    <t>(исполнительные схемы и чертежи, результаты экспертиз, обследований, лабораторных и иных испытаний выполненных работ, проведенных в процессе строительного контроля)</t>
  </si>
  <si>
    <t>5. Даты: начала работ</t>
  </si>
  <si>
    <t xml:space="preserve">              окончания работ</t>
  </si>
  <si>
    <t>6. Работы выполнены в соответствии с</t>
  </si>
  <si>
    <t xml:space="preserve">7. Разрешается  производство   последующих  работ </t>
  </si>
  <si>
    <t>(наименование работ, строительных конструкций, участков сетей инженерно-технического обеспечения)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</si>
</sst>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yy"/>
  </numFmts>
  <fonts count="37" x14ac:knownFonts="1">
    <font>
      <sz val="11"/>
      <color theme="1"/>
      <name val="Calibri"/>
      <family val="2"/>
      <charset val="1"/>
    </font>
    <font>
      <b/>
      <sz val="12"/>
      <name val="Arial"/>
      <charset val="1"/>
    </font>
    <font>
      <b/>
      <sz val="11"/>
      <name val="Arial"/>
      <charset val="1"/>
    </font>
    <font>
      <sz val="10"/>
      <color rgb="FF666666"/>
      <name val="Arial"/>
      <charset val="1"/>
    </font>
    <font>
      <sz val="11"/>
      <name val="Times New Roman"/>
      <charset val="1"/>
    </font>
    <font>
      <b/>
      <sz val="10"/>
      <name val="Arial"/>
      <charset val="1"/>
    </font>
    <font>
      <i/>
      <sz val="9"/>
      <color rgb="FF999999"/>
      <name val="Arial"/>
      <charset val="1"/>
    </font>
    <font>
      <sz val="10"/>
      <name val="Arial"/>
      <charset val="1"/>
    </font>
    <font>
      <b/>
      <sz val="10.5"/>
      <name val="Times New Roman"/>
      <family val="1"/>
      <charset val="204"/>
    </font>
    <font>
      <i/>
      <sz val="10.5"/>
      <name val="Times New Roman"/>
      <family val="1"/>
      <charset val="204"/>
    </font>
    <font>
      <i/>
      <u/>
      <sz val="10.5"/>
      <name val="Times New Roman"/>
      <family val="1"/>
      <charset val="204"/>
    </font>
    <font>
      <sz val="10.5"/>
      <name val="Times New Roman"/>
      <family val="1"/>
      <charset val="204"/>
    </font>
    <font>
      <u/>
      <sz val="10.5"/>
      <name val="Times New Roman"/>
      <family val="1"/>
      <charset val="204"/>
    </font>
    <font>
      <b/>
      <i/>
      <sz val="10.5"/>
      <name val="Times New Roman"/>
      <family val="1"/>
      <charset val="204"/>
    </font>
    <font>
      <b/>
      <sz val="11"/>
      <name val="Times New Roman"/>
      <family val="1"/>
      <charset val="204"/>
    </font>
    <font>
      <i/>
      <sz val="10"/>
      <name val="Times New Roman"/>
      <family val="1"/>
      <charset val="204"/>
    </font>
    <font>
      <i/>
      <u/>
      <sz val="11"/>
      <name val="Times New Roman"/>
      <family val="1"/>
      <charset val="204"/>
    </font>
    <font>
      <sz val="11"/>
      <name val="Times New Roman"/>
      <family val="1"/>
      <charset val="204"/>
    </font>
    <font>
      <u/>
      <sz val="11"/>
      <name val="Times New Roman"/>
      <family val="1"/>
      <charset val="204"/>
    </font>
    <font>
      <b/>
      <sz val="12"/>
      <name val="Times New Roman"/>
      <family val="1"/>
      <charset val="204"/>
    </font>
    <font>
      <sz val="10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8"/>
      <name val="Times New Roman"/>
      <family val="1"/>
      <charset val="204"/>
    </font>
    <font>
      <sz val="7"/>
      <name val="Times New Roman"/>
      <family val="1"/>
      <charset val="204"/>
    </font>
    <font>
      <sz val="10.5"/>
      <color rgb="FF000000"/>
      <name val="Times New Roman"/>
      <family val="1"/>
      <charset val="204"/>
    </font>
    <font>
      <b/>
      <sz val="16"/>
      <color theme="1"/>
      <name val="Calibri"/>
      <family val="2"/>
      <charset val="204"/>
    </font>
    <font>
      <sz val="9"/>
      <name val="Times New Roman"/>
      <family val="1"/>
      <charset val="204"/>
    </font>
    <font>
      <b/>
      <i/>
      <sz val="10"/>
      <name val="Times New Roman"/>
      <family val="1"/>
      <charset val="204"/>
    </font>
    <font>
      <sz val="6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Arial"/>
      <family val="2"/>
      <charset val="204"/>
    </font>
    <font>
      <sz val="10"/>
      <color rgb="FF000000"/>
      <name val="Times New Roman"/>
      <family val="1"/>
      <charset val="204"/>
    </font>
    <font>
      <b/>
      <i/>
      <sz val="10"/>
      <name val="Tahoma"/>
      <family val="2"/>
      <charset val="1"/>
    </font>
    <font>
      <b/>
      <i/>
      <sz val="9"/>
      <name val="Tahoma"/>
      <family val="2"/>
      <charset val="1"/>
    </font>
    <font>
      <i/>
      <sz val="8"/>
      <name val="Times New Roman"/>
      <family val="1"/>
      <charset val="204"/>
    </font>
    <font>
      <b/>
      <i/>
      <sz val="11"/>
      <name val="Times New Roman"/>
      <family val="1"/>
      <charset val="204"/>
    </font>
    <font>
      <b/>
      <i/>
      <sz val="9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rgb="FFE8E8E8"/>
        <bgColor rgb="FFFFF0E0"/>
      </patternFill>
    </fill>
    <fill>
      <patternFill patternType="solid">
        <fgColor rgb="FFFFFFDD"/>
        <bgColor rgb="FFFFF0E0"/>
      </patternFill>
    </fill>
    <fill>
      <patternFill patternType="solid">
        <fgColor rgb="FFFFF0E0"/>
        <bgColor rgb="FFFFFFDD"/>
      </patternFill>
    </fill>
    <fill>
      <patternFill patternType="solid">
        <fgColor rgb="FFFFFFFF"/>
        <bgColor rgb="FFFFFFCC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0" fillId="0" borderId="0"/>
  </cellStyleXfs>
  <cellXfs count="170">
    <xf numFmtId="0" fontId="0" fillId="0" borderId="0" xfId="0"/>
    <xf numFmtId="0" fontId="9" fillId="0" borderId="0" xfId="0" applyFont="1" applyAlignment="1">
      <alignment horizontal="center"/>
    </xf>
    <xf numFmtId="0" fontId="9" fillId="0" borderId="3" xfId="0" applyFont="1" applyBorder="1" applyAlignment="1">
      <alignment horizontal="center"/>
    </xf>
    <xf numFmtId="0" fontId="13" fillId="0" borderId="3" xfId="0" applyFont="1" applyBorder="1" applyAlignment="1">
      <alignment horizontal="left"/>
    </xf>
    <xf numFmtId="0" fontId="13" fillId="0" borderId="3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1" fillId="0" borderId="0" xfId="0" applyFont="1"/>
    <xf numFmtId="0" fontId="2" fillId="2" borderId="0" xfId="0" applyFont="1" applyFill="1"/>
    <xf numFmtId="0" fontId="0" fillId="2" borderId="0" xfId="0" applyFill="1"/>
    <xf numFmtId="0" fontId="3" fillId="0" borderId="0" xfId="0" applyFont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4" fillId="4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right"/>
    </xf>
    <xf numFmtId="0" fontId="9" fillId="0" borderId="0" xfId="0" applyFont="1"/>
    <xf numFmtId="0" fontId="10" fillId="0" borderId="0" xfId="0" applyFont="1"/>
    <xf numFmtId="0" fontId="8" fillId="0" borderId="0" xfId="0" applyFont="1" applyAlignment="1">
      <alignment horizontal="right" vertical="top"/>
    </xf>
    <xf numFmtId="0" fontId="9" fillId="0" borderId="0" xfId="0" applyFont="1" applyAlignment="1">
      <alignment horizontal="right"/>
    </xf>
    <xf numFmtId="0" fontId="12" fillId="0" borderId="0" xfId="0" applyFont="1" applyAlignment="1">
      <alignment horizontal="left" vertical="top" wrapText="1"/>
    </xf>
    <xf numFmtId="0" fontId="8" fillId="0" borderId="0" xfId="0" applyFont="1"/>
    <xf numFmtId="0" fontId="12" fillId="0" borderId="0" xfId="0" applyFont="1"/>
    <xf numFmtId="0" fontId="11" fillId="0" borderId="0" xfId="0" applyFont="1"/>
    <xf numFmtId="0" fontId="11" fillId="0" borderId="2" xfId="0" applyFont="1" applyBorder="1"/>
    <xf numFmtId="0" fontId="13" fillId="0" borderId="0" xfId="0" applyFont="1"/>
    <xf numFmtId="0" fontId="13" fillId="0" borderId="3" xfId="0" applyFont="1" applyBorder="1"/>
    <xf numFmtId="0" fontId="11" fillId="0" borderId="3" xfId="0" applyFont="1" applyBorder="1"/>
    <xf numFmtId="0" fontId="8" fillId="0" borderId="0" xfId="0" applyFont="1" applyAlignment="1">
      <alignment horizontal="left"/>
    </xf>
    <xf numFmtId="49" fontId="11" fillId="0" borderId="0" xfId="0" applyNumberFormat="1" applyFont="1" applyAlignment="1">
      <alignment horizontal="left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right"/>
    </xf>
    <xf numFmtId="0" fontId="15" fillId="0" borderId="0" xfId="0" applyFont="1"/>
    <xf numFmtId="0" fontId="16" fillId="0" borderId="0" xfId="0" applyFont="1"/>
    <xf numFmtId="0" fontId="14" fillId="0" borderId="0" xfId="0" applyFont="1" applyAlignment="1">
      <alignment horizontal="right" vertical="top"/>
    </xf>
    <xf numFmtId="0" fontId="15" fillId="0" borderId="0" xfId="0" applyFont="1" applyAlignment="1">
      <alignment horizontal="right"/>
    </xf>
    <xf numFmtId="0" fontId="18" fillId="0" borderId="0" xfId="0" applyFont="1" applyAlignment="1">
      <alignment horizontal="left" vertical="top" wrapText="1"/>
    </xf>
    <xf numFmtId="0" fontId="17" fillId="0" borderId="0" xfId="0" applyFont="1" applyAlignment="1">
      <alignment horizontal="left"/>
    </xf>
    <xf numFmtId="0" fontId="14" fillId="0" borderId="0" xfId="0" applyFont="1"/>
    <xf numFmtId="0" fontId="13" fillId="0" borderId="4" xfId="0" applyFont="1" applyBorder="1"/>
    <xf numFmtId="0" fontId="11" fillId="0" borderId="0" xfId="0" applyFont="1" applyAlignment="1">
      <alignment vertical="center"/>
    </xf>
    <xf numFmtId="0" fontId="8" fillId="0" borderId="3" xfId="0" applyFont="1" applyBorder="1" applyAlignment="1">
      <alignment horizontal="left"/>
    </xf>
    <xf numFmtId="0" fontId="13" fillId="0" borderId="0" xfId="0" applyFont="1" applyAlignment="1">
      <alignment horizontal="left"/>
    </xf>
    <xf numFmtId="0" fontId="12" fillId="0" borderId="3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20" fillId="0" borderId="0" xfId="0" applyFont="1"/>
    <xf numFmtId="0" fontId="17" fillId="0" borderId="3" xfId="0" applyFont="1" applyBorder="1"/>
    <xf numFmtId="0" fontId="17" fillId="0" borderId="0" xfId="0" applyFont="1"/>
    <xf numFmtId="0" fontId="18" fillId="0" borderId="0" xfId="0" applyFont="1"/>
    <xf numFmtId="0" fontId="7" fillId="0" borderId="3" xfId="0" applyFont="1" applyBorder="1"/>
    <xf numFmtId="0" fontId="17" fillId="0" borderId="5" xfId="0" applyFont="1" applyBorder="1" applyAlignment="1">
      <alignment horizontal="left"/>
    </xf>
    <xf numFmtId="0" fontId="20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23" fillId="0" borderId="0" xfId="0" applyFont="1"/>
    <xf numFmtId="49" fontId="11" fillId="0" borderId="0" xfId="0" applyNumberFormat="1" applyFont="1"/>
    <xf numFmtId="0" fontId="12" fillId="0" borderId="0" xfId="0" applyFont="1" applyAlignment="1">
      <alignment vertical="top" wrapText="1"/>
    </xf>
    <xf numFmtId="0" fontId="12" fillId="0" borderId="0" xfId="0" applyFont="1" applyAlignment="1">
      <alignment wrapText="1"/>
    </xf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8" xfId="0" applyFont="1" applyBorder="1" applyAlignment="1">
      <alignment horizontal="left" vertical="center"/>
    </xf>
    <xf numFmtId="0" fontId="11" fillId="0" borderId="9" xfId="0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11" fillId="0" borderId="8" xfId="0" applyFont="1" applyBorder="1" applyAlignment="1">
      <alignment wrapText="1"/>
    </xf>
    <xf numFmtId="1" fontId="11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3" fillId="0" borderId="3" xfId="0" applyFont="1" applyBorder="1" applyAlignment="1">
      <alignment horizontal="center"/>
    </xf>
    <xf numFmtId="0" fontId="9" fillId="0" borderId="0" xfId="0" applyFont="1" applyAlignment="1">
      <alignment horizontal="left" vertical="center" wrapText="1"/>
    </xf>
    <xf numFmtId="164" fontId="11" fillId="0" borderId="0" xfId="0" applyNumberFormat="1" applyFont="1" applyAlignment="1">
      <alignment horizontal="center" vertical="top" wrapText="1"/>
    </xf>
    <xf numFmtId="0" fontId="11" fillId="0" borderId="0" xfId="0" applyFont="1" applyAlignment="1">
      <alignment horizontal="right"/>
    </xf>
    <xf numFmtId="0" fontId="13" fillId="0" borderId="3" xfId="0" applyFont="1" applyBorder="1" applyAlignment="1">
      <alignment horizontal="left"/>
    </xf>
    <xf numFmtId="0" fontId="13" fillId="0" borderId="3" xfId="0" applyFont="1" applyBorder="1" applyAlignment="1">
      <alignment horizontal="right"/>
    </xf>
    <xf numFmtId="0" fontId="13" fillId="0" borderId="3" xfId="0" applyFont="1" applyBorder="1" applyAlignment="1">
      <alignment horizontal="right" indent="1"/>
    </xf>
    <xf numFmtId="0" fontId="9" fillId="0" borderId="3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3" xfId="0" applyFont="1" applyBorder="1" applyAlignment="1">
      <alignment horizontal="left" wrapText="1"/>
    </xf>
    <xf numFmtId="0" fontId="13" fillId="0" borderId="3" xfId="0" applyFont="1" applyBorder="1" applyAlignment="1">
      <alignment horizontal="left" wrapText="1"/>
    </xf>
    <xf numFmtId="0" fontId="15" fillId="0" borderId="0" xfId="0" applyFont="1" applyAlignment="1">
      <alignment horizontal="left" vertical="center" wrapText="1"/>
    </xf>
    <xf numFmtId="164" fontId="17" fillId="0" borderId="0" xfId="0" applyNumberFormat="1" applyFont="1" applyAlignment="1">
      <alignment horizontal="center" vertical="top" wrapText="1"/>
    </xf>
    <xf numFmtId="0" fontId="17" fillId="0" borderId="0" xfId="0" applyFont="1" applyAlignment="1">
      <alignment horizontal="left"/>
    </xf>
    <xf numFmtId="0" fontId="17" fillId="0" borderId="0" xfId="0" applyFont="1" applyAlignment="1">
      <alignment horizontal="right"/>
    </xf>
    <xf numFmtId="0" fontId="13" fillId="0" borderId="3" xfId="0" applyFont="1" applyBorder="1" applyAlignment="1">
      <alignment horizontal="center" wrapText="1"/>
    </xf>
    <xf numFmtId="0" fontId="9" fillId="0" borderId="0" xfId="0" applyFont="1" applyAlignment="1">
      <alignment horizontal="left" vertical="top" wrapText="1"/>
    </xf>
    <xf numFmtId="0" fontId="17" fillId="0" borderId="3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21" fillId="0" borderId="6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7" fillId="0" borderId="3" xfId="0" applyFont="1" applyBorder="1" applyAlignment="1">
      <alignment horizontal="right"/>
    </xf>
    <xf numFmtId="0" fontId="17" fillId="0" borderId="2" xfId="0" applyFont="1" applyBorder="1" applyAlignment="1">
      <alignment horizontal="left"/>
    </xf>
    <xf numFmtId="0" fontId="22" fillId="0" borderId="2" xfId="0" applyFont="1" applyBorder="1" applyAlignment="1">
      <alignment horizontal="left"/>
    </xf>
    <xf numFmtId="0" fontId="17" fillId="0" borderId="5" xfId="0" applyFont="1" applyBorder="1" applyAlignment="1">
      <alignment horizontal="left"/>
    </xf>
    <xf numFmtId="0" fontId="18" fillId="0" borderId="0" xfId="0" applyFont="1" applyAlignment="1">
      <alignment horizontal="center" wrapText="1"/>
    </xf>
    <xf numFmtId="0" fontId="21" fillId="0" borderId="0" xfId="0" applyFont="1" applyAlignment="1">
      <alignment horizontal="center" vertical="top"/>
    </xf>
    <xf numFmtId="0" fontId="17" fillId="0" borderId="3" xfId="0" applyFont="1" applyBorder="1" applyAlignment="1">
      <alignment horizontal="left"/>
    </xf>
    <xf numFmtId="0" fontId="19" fillId="0" borderId="0" xfId="0" applyFont="1" applyAlignment="1">
      <alignment horizontal="center"/>
    </xf>
    <xf numFmtId="1" fontId="13" fillId="0" borderId="3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11" fillId="0" borderId="9" xfId="0" applyFont="1" applyBorder="1" applyAlignment="1">
      <alignment horizontal="left" wrapText="1"/>
    </xf>
    <xf numFmtId="0" fontId="11" fillId="0" borderId="10" xfId="0" applyFont="1" applyBorder="1" applyAlignment="1">
      <alignment horizontal="left"/>
    </xf>
    <xf numFmtId="0" fontId="9" fillId="0" borderId="0" xfId="0" applyFont="1" applyAlignment="1">
      <alignment horizontal="right"/>
    </xf>
    <xf numFmtId="164" fontId="24" fillId="0" borderId="0" xfId="0" applyNumberFormat="1" applyFont="1" applyAlignment="1">
      <alignment horizontal="center"/>
    </xf>
    <xf numFmtId="0" fontId="2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 vertical="top" wrapText="1"/>
    </xf>
    <xf numFmtId="0" fontId="20" fillId="0" borderId="0" xfId="1"/>
    <xf numFmtId="49" fontId="20" fillId="0" borderId="0" xfId="1" applyNumberFormat="1" applyAlignment="1">
      <alignment horizontal="center"/>
    </xf>
    <xf numFmtId="0" fontId="20" fillId="0" borderId="0" xfId="1" applyAlignment="1">
      <alignment horizontal="center"/>
    </xf>
    <xf numFmtId="2" fontId="20" fillId="0" borderId="0" xfId="1" applyNumberFormat="1" applyAlignment="1">
      <alignment horizontal="center"/>
    </xf>
    <xf numFmtId="0" fontId="17" fillId="0" borderId="0" xfId="1" applyFont="1"/>
    <xf numFmtId="0" fontId="26" fillId="0" borderId="0" xfId="1" applyFont="1" applyAlignment="1">
      <alignment horizontal="right"/>
    </xf>
    <xf numFmtId="0" fontId="20" fillId="0" borderId="0" xfId="1" applyAlignment="1">
      <alignment wrapText="1"/>
    </xf>
    <xf numFmtId="0" fontId="27" fillId="0" borderId="3" xfId="1" applyFont="1" applyBorder="1" applyAlignment="1">
      <alignment horizontal="center" vertical="center" wrapText="1"/>
    </xf>
    <xf numFmtId="0" fontId="28" fillId="0" borderId="0" xfId="1" applyFont="1" applyAlignment="1">
      <alignment horizontal="center" vertical="center" wrapText="1"/>
    </xf>
    <xf numFmtId="0" fontId="20" fillId="0" borderId="0" xfId="1" applyAlignment="1">
      <alignment horizontal="left" wrapText="1"/>
    </xf>
    <xf numFmtId="0" fontId="29" fillId="0" borderId="0" xfId="1" applyFont="1" applyAlignment="1">
      <alignment horizontal="center" vertical="center"/>
    </xf>
    <xf numFmtId="0" fontId="29" fillId="0" borderId="0" xfId="1" applyFont="1" applyAlignment="1">
      <alignment horizontal="center"/>
    </xf>
    <xf numFmtId="0" fontId="19" fillId="0" borderId="0" xfId="1" applyFont="1" applyAlignment="1">
      <alignment horizontal="center"/>
    </xf>
    <xf numFmtId="0" fontId="29" fillId="0" borderId="0" xfId="1" applyFont="1" applyAlignment="1">
      <alignment horizontal="right"/>
    </xf>
    <xf numFmtId="0" fontId="27" fillId="0" borderId="0" xfId="1" applyFont="1" applyAlignment="1">
      <alignment horizontal="left" vertical="center"/>
    </xf>
    <xf numFmtId="0" fontId="20" fillId="0" borderId="0" xfId="1" applyAlignment="1">
      <alignment horizontal="right"/>
    </xf>
    <xf numFmtId="0" fontId="27" fillId="0" borderId="3" xfId="1" applyFont="1" applyBorder="1" applyAlignment="1">
      <alignment horizontal="center"/>
    </xf>
    <xf numFmtId="0" fontId="20" fillId="0" borderId="0" xfId="1" applyAlignment="1">
      <alignment horizontal="left"/>
    </xf>
    <xf numFmtId="0" fontId="22" fillId="0" borderId="0" xfId="1" applyFont="1" applyAlignment="1">
      <alignment horizontal="left" vertical="top"/>
    </xf>
    <xf numFmtId="0" fontId="27" fillId="5" borderId="3" xfId="1" applyFont="1" applyFill="1" applyBorder="1" applyAlignment="1">
      <alignment horizontal="center" vertical="center" wrapText="1"/>
    </xf>
    <xf numFmtId="0" fontId="20" fillId="0" borderId="6" xfId="1" applyBorder="1" applyAlignment="1">
      <alignment horizontal="left" vertical="center" wrapText="1"/>
    </xf>
    <xf numFmtId="0" fontId="30" fillId="0" borderId="0" xfId="1" applyFont="1"/>
    <xf numFmtId="0" fontId="17" fillId="0" borderId="0" xfId="1" applyFont="1" applyAlignment="1">
      <alignment vertical="center"/>
    </xf>
    <xf numFmtId="0" fontId="20" fillId="0" borderId="0" xfId="1" applyAlignment="1">
      <alignment horizontal="left" vertical="center" wrapText="1"/>
    </xf>
    <xf numFmtId="0" fontId="27" fillId="0" borderId="0" xfId="1" applyFont="1" applyAlignment="1">
      <alignment horizontal="center" vertical="center" wrapText="1"/>
    </xf>
    <xf numFmtId="0" fontId="28" fillId="0" borderId="6" xfId="1" applyFont="1" applyBorder="1" applyAlignment="1">
      <alignment horizontal="center" vertical="center" wrapText="1"/>
    </xf>
    <xf numFmtId="0" fontId="20" fillId="0" borderId="0" xfId="1" applyAlignment="1">
      <alignment horizontal="left" vertical="center"/>
    </xf>
    <xf numFmtId="0" fontId="27" fillId="0" borderId="3" xfId="1" applyFont="1" applyBorder="1" applyAlignment="1">
      <alignment horizontal="center" vertical="center"/>
    </xf>
    <xf numFmtId="0" fontId="20" fillId="0" borderId="0" xfId="1" applyAlignment="1">
      <alignment horizontal="center" vertical="center"/>
    </xf>
    <xf numFmtId="0" fontId="20" fillId="0" borderId="0" xfId="1" applyAlignment="1">
      <alignment vertical="center"/>
    </xf>
    <xf numFmtId="0" fontId="31" fillId="0" borderId="0" xfId="1" applyFont="1" applyAlignment="1">
      <alignment horizontal="left" vertical="center"/>
    </xf>
    <xf numFmtId="0" fontId="32" fillId="0" borderId="0" xfId="1" applyFont="1" applyAlignment="1">
      <alignment vertical="center"/>
    </xf>
    <xf numFmtId="0" fontId="33" fillId="0" borderId="0" xfId="1" applyFont="1" applyAlignment="1">
      <alignment vertical="center"/>
    </xf>
    <xf numFmtId="0" fontId="28" fillId="0" borderId="6" xfId="1" applyFont="1" applyBorder="1" applyAlignment="1">
      <alignment horizontal="center" vertical="center"/>
    </xf>
    <xf numFmtId="0" fontId="22" fillId="0" borderId="0" xfId="1" applyFont="1" applyAlignment="1">
      <alignment horizontal="center" vertical="center" wrapText="1"/>
    </xf>
    <xf numFmtId="0" fontId="22" fillId="0" borderId="0" xfId="1" applyFont="1" applyAlignment="1">
      <alignment horizontal="center" vertical="center"/>
    </xf>
    <xf numFmtId="0" fontId="17" fillId="0" borderId="0" xfId="1" applyFont="1" applyAlignment="1">
      <alignment horizontal="center"/>
    </xf>
    <xf numFmtId="0" fontId="20" fillId="0" borderId="3" xfId="1" applyBorder="1" applyAlignment="1">
      <alignment horizontal="center"/>
    </xf>
    <xf numFmtId="0" fontId="27" fillId="0" borderId="3" xfId="1" applyFont="1" applyBorder="1" applyAlignment="1">
      <alignment horizontal="left" vertical="center"/>
    </xf>
    <xf numFmtId="0" fontId="28" fillId="0" borderId="0" xfId="1" applyFont="1" applyAlignment="1">
      <alignment horizontal="center" vertical="center"/>
    </xf>
    <xf numFmtId="0" fontId="34" fillId="0" borderId="0" xfId="1" applyFont="1" applyAlignment="1">
      <alignment horizontal="center" vertical="center"/>
    </xf>
    <xf numFmtId="0" fontId="35" fillId="0" borderId="0" xfId="1" applyFont="1"/>
    <xf numFmtId="0" fontId="23" fillId="0" borderId="0" xfId="1" applyFont="1" applyAlignment="1">
      <alignment vertical="center" wrapText="1"/>
    </xf>
    <xf numFmtId="0" fontId="23" fillId="0" borderId="0" xfId="1" applyFont="1" applyAlignment="1">
      <alignment vertical="center"/>
    </xf>
    <xf numFmtId="0" fontId="27" fillId="0" borderId="0" xfId="1" applyFont="1" applyAlignment="1">
      <alignment horizontal="center"/>
    </xf>
    <xf numFmtId="0" fontId="26" fillId="0" borderId="0" xfId="1" applyFont="1"/>
    <xf numFmtId="0" fontId="26" fillId="0" borderId="0" xfId="1" applyFont="1" applyAlignment="1">
      <alignment horizontal="left" vertical="center" wrapText="1"/>
    </xf>
    <xf numFmtId="0" fontId="36" fillId="0" borderId="3" xfId="1" applyFont="1" applyBorder="1" applyAlignment="1">
      <alignment horizontal="center" vertical="center" wrapText="1"/>
    </xf>
    <xf numFmtId="2" fontId="36" fillId="0" borderId="3" xfId="1" applyNumberFormat="1" applyFont="1" applyBorder="1" applyAlignment="1">
      <alignment horizontal="center" vertical="center" wrapText="1"/>
    </xf>
    <xf numFmtId="0" fontId="27" fillId="0" borderId="0" xfId="1" applyFont="1" applyAlignment="1">
      <alignment horizontal="center"/>
    </xf>
    <xf numFmtId="0" fontId="27" fillId="0" borderId="3" xfId="1" applyFont="1" applyBorder="1" applyAlignment="1">
      <alignment horizontal="left" vertical="center" wrapText="1"/>
    </xf>
    <xf numFmtId="0" fontId="36" fillId="0" borderId="3" xfId="1" applyFont="1" applyBorder="1" applyAlignment="1">
      <alignment horizontal="center"/>
    </xf>
    <xf numFmtId="0" fontId="32" fillId="0" borderId="0" xfId="1" applyFont="1"/>
    <xf numFmtId="0" fontId="27" fillId="0" borderId="4" xfId="1" applyFont="1" applyBorder="1" applyAlignment="1">
      <alignment horizontal="center"/>
    </xf>
    <xf numFmtId="0" fontId="17" fillId="0" borderId="0" xfId="1" applyFont="1" applyAlignment="1">
      <alignment horizontal="left"/>
    </xf>
    <xf numFmtId="0" fontId="32" fillId="0" borderId="0" xfId="1" applyFont="1" applyAlignment="1">
      <alignment horizontal="right"/>
    </xf>
  </cellXfs>
  <cellStyles count="2">
    <cellStyle name="Обычный" xfId="0" builtinId="0"/>
    <cellStyle name="Обычный 2" xfId="1" xr:uid="{71F2915D-02D0-418C-B27D-9D4C5318F990}"/>
  </cellStyles>
  <dxfs count="0"/>
  <tableStyles count="0" defaultTableStyle="TableStyleMedium2" defaultPivotStyle="PivotStyleLight16"/>
  <colors>
    <indexedColors>
      <rgbColor rgb="FF000000"/>
      <rgbColor rgb="FFFFF0E0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DD"/>
      <rgbColor rgb="FFE8E8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ubko\projects\gnb-bot\templates\&#1040;&#1054;&#1057;&#1056;%20&#1096;&#1072;&#1073;&#1083;&#1086;&#1085;.xlsx" TargetMode="External"/><Relationship Id="rId1" Type="http://schemas.openxmlformats.org/officeDocument/2006/relationships/externalLinkPath" Target="&#1040;&#1054;&#1057;&#1056;%20&#1096;&#1072;&#1073;&#1083;&#1086;&#108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Лист1"/>
      <sheetName val="АОСР (1)"/>
      <sheetName val="АОСР (2)"/>
    </sheetNames>
    <sheetDataSet>
      <sheetData sheetId="0">
        <row r="4">
          <cell r="B4">
            <v>0</v>
          </cell>
        </row>
      </sheetData>
      <sheetData sheetId="1"/>
      <sheetData sheetId="2">
        <row r="64">
          <cell r="A64" t="str">
            <v>1. Исполнительный чертеж ЗП № (по адресу: 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E5D87-7EEE-459C-A40C-913FEAD7774E}">
  <dimension ref="A1:F14"/>
  <sheetViews>
    <sheetView workbookViewId="0"/>
  </sheetViews>
  <sheetFormatPr defaultRowHeight="14.4" x14ac:dyDescent="0.3"/>
  <cols>
    <col min="1" max="6" width="18.77734375" customWidth="1"/>
  </cols>
  <sheetData>
    <row r="1" spans="1:6" ht="21" x14ac:dyDescent="0.4">
      <c r="A1" s="111" t="s">
        <v>171</v>
      </c>
      <c r="B1" s="112"/>
      <c r="C1" s="112"/>
      <c r="D1" s="112"/>
      <c r="E1" s="112"/>
      <c r="F1" s="112"/>
    </row>
    <row r="3" spans="1:6" ht="24" customHeight="1" x14ac:dyDescent="0.3">
      <c r="A3" s="113" t="s">
        <v>172</v>
      </c>
      <c r="B3" s="113"/>
      <c r="C3" s="113"/>
      <c r="D3" s="113"/>
      <c r="E3" s="113"/>
      <c r="F3" s="113"/>
    </row>
    <row r="4" spans="1:6" ht="24" customHeight="1" x14ac:dyDescent="0.3">
      <c r="A4" s="113"/>
      <c r="B4" s="113"/>
      <c r="C4" s="113"/>
      <c r="D4" s="113"/>
      <c r="E4" s="113"/>
      <c r="F4" s="113"/>
    </row>
    <row r="5" spans="1:6" ht="24" customHeight="1" x14ac:dyDescent="0.3">
      <c r="A5" s="113"/>
      <c r="B5" s="113"/>
      <c r="C5" s="113"/>
      <c r="D5" s="113"/>
      <c r="E5" s="113"/>
      <c r="F5" s="113"/>
    </row>
    <row r="6" spans="1:6" ht="24" customHeight="1" x14ac:dyDescent="0.3">
      <c r="A6" s="113"/>
      <c r="B6" s="113"/>
      <c r="C6" s="113"/>
      <c r="D6" s="113"/>
      <c r="E6" s="113"/>
      <c r="F6" s="113"/>
    </row>
    <row r="7" spans="1:6" ht="24" customHeight="1" x14ac:dyDescent="0.3">
      <c r="A7" s="113"/>
      <c r="B7" s="113"/>
      <c r="C7" s="113"/>
      <c r="D7" s="113"/>
      <c r="E7" s="113"/>
      <c r="F7" s="113"/>
    </row>
    <row r="8" spans="1:6" ht="24" customHeight="1" x14ac:dyDescent="0.3">
      <c r="A8" s="113"/>
      <c r="B8" s="113"/>
      <c r="C8" s="113"/>
      <c r="D8" s="113"/>
      <c r="E8" s="113"/>
      <c r="F8" s="113"/>
    </row>
    <row r="9" spans="1:6" ht="24" customHeight="1" x14ac:dyDescent="0.3">
      <c r="A9" s="113"/>
      <c r="B9" s="113"/>
      <c r="C9" s="113"/>
      <c r="D9" s="113"/>
      <c r="E9" s="113"/>
      <c r="F9" s="113"/>
    </row>
    <row r="10" spans="1:6" ht="24" customHeight="1" x14ac:dyDescent="0.3">
      <c r="A10" s="113"/>
      <c r="B10" s="113"/>
      <c r="C10" s="113"/>
      <c r="D10" s="113"/>
      <c r="E10" s="113"/>
      <c r="F10" s="113"/>
    </row>
    <row r="11" spans="1:6" ht="24" customHeight="1" x14ac:dyDescent="0.3">
      <c r="A11" s="113"/>
      <c r="B11" s="113"/>
      <c r="C11" s="113"/>
      <c r="D11" s="113"/>
      <c r="E11" s="113"/>
      <c r="F11" s="113"/>
    </row>
    <row r="12" spans="1:6" ht="24" customHeight="1" x14ac:dyDescent="0.3">
      <c r="A12" s="113"/>
      <c r="B12" s="113"/>
      <c r="C12" s="113"/>
      <c r="D12" s="113"/>
      <c r="E12" s="113"/>
      <c r="F12" s="113"/>
    </row>
    <row r="13" spans="1:6" ht="24" customHeight="1" x14ac:dyDescent="0.3">
      <c r="A13" s="113"/>
      <c r="B13" s="113"/>
      <c r="C13" s="113"/>
      <c r="D13" s="113"/>
      <c r="E13" s="113"/>
      <c r="F13" s="113"/>
    </row>
    <row r="14" spans="1:6" ht="24" customHeight="1" x14ac:dyDescent="0.3">
      <c r="A14" s="113"/>
      <c r="B14" s="113"/>
      <c r="C14" s="113"/>
      <c r="D14" s="113"/>
      <c r="E14" s="113"/>
      <c r="F14" s="113"/>
    </row>
  </sheetData>
  <mergeCells count="2">
    <mergeCell ref="A1:F1"/>
    <mergeCell ref="A3:F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zoomScaleNormal="100" workbookViewId="0"/>
  </sheetViews>
  <sheetFormatPr defaultColWidth="8.6640625" defaultRowHeight="15" customHeight="1" x14ac:dyDescent="0.3"/>
  <cols>
    <col min="1" max="1" width="30" customWidth="1"/>
    <col min="2" max="3" width="52" customWidth="1"/>
    <col min="4" max="8" width="14" customWidth="1"/>
  </cols>
  <sheetData>
    <row r="1" spans="1:3" ht="15.6" x14ac:dyDescent="0.3">
      <c r="A1" s="8" t="s">
        <v>0</v>
      </c>
    </row>
    <row r="2" spans="1:3" ht="14.4" x14ac:dyDescent="0.3">
      <c r="A2" s="9" t="s">
        <v>1</v>
      </c>
      <c r="B2" s="10"/>
      <c r="C2" s="10"/>
    </row>
    <row r="3" spans="1:3" ht="14.4" x14ac:dyDescent="0.3">
      <c r="A3" s="11" t="s">
        <v>2</v>
      </c>
      <c r="B3" s="12" t="s">
        <v>3</v>
      </c>
    </row>
    <row r="4" spans="1:3" ht="69" x14ac:dyDescent="0.3">
      <c r="A4" s="11" t="s">
        <v>4</v>
      </c>
      <c r="B4" s="12" t="s">
        <v>5</v>
      </c>
    </row>
    <row r="5" spans="1:3" ht="14.4" x14ac:dyDescent="0.3">
      <c r="A5" s="11" t="s">
        <v>6</v>
      </c>
      <c r="B5" s="12" t="s">
        <v>7</v>
      </c>
    </row>
    <row r="6" spans="1:3" ht="14.4" x14ac:dyDescent="0.3">
      <c r="A6" s="11" t="s">
        <v>8</v>
      </c>
      <c r="B6" s="12" t="s">
        <v>9</v>
      </c>
    </row>
    <row r="7" spans="1:3" ht="14.4" x14ac:dyDescent="0.3">
      <c r="A7" s="11" t="s">
        <v>10</v>
      </c>
      <c r="B7" s="12" t="s">
        <v>11</v>
      </c>
    </row>
    <row r="8" spans="1:3" ht="14.4" x14ac:dyDescent="0.3">
      <c r="A8" s="11" t="s">
        <v>12</v>
      </c>
      <c r="B8" s="12" t="s">
        <v>13</v>
      </c>
    </row>
    <row r="9" spans="1:3" ht="14.4" x14ac:dyDescent="0.3">
      <c r="A9" s="11" t="s">
        <v>14</v>
      </c>
      <c r="B9" s="12" t="s">
        <v>15</v>
      </c>
    </row>
    <row r="10" spans="1:3" ht="14.4" x14ac:dyDescent="0.3">
      <c r="A10" s="11" t="s">
        <v>16</v>
      </c>
      <c r="B10" s="12" t="s">
        <v>17</v>
      </c>
    </row>
    <row r="11" spans="1:3" ht="14.4" x14ac:dyDescent="0.3">
      <c r="A11" s="11" t="s">
        <v>18</v>
      </c>
      <c r="B11" s="12" t="s">
        <v>15</v>
      </c>
    </row>
    <row r="13" spans="1:3" ht="14.4" x14ac:dyDescent="0.3">
      <c r="A13" s="9" t="s">
        <v>19</v>
      </c>
      <c r="B13" s="10"/>
      <c r="C13" s="10"/>
    </row>
    <row r="14" spans="1:3" ht="14.4" x14ac:dyDescent="0.3">
      <c r="A14" s="11" t="s">
        <v>20</v>
      </c>
      <c r="B14" s="12" t="s">
        <v>21</v>
      </c>
    </row>
    <row r="15" spans="1:3" ht="14.4" x14ac:dyDescent="0.3">
      <c r="A15" s="11" t="s">
        <v>22</v>
      </c>
      <c r="B15" s="12" t="s">
        <v>17</v>
      </c>
    </row>
    <row r="16" spans="1:3" ht="14.4" x14ac:dyDescent="0.3">
      <c r="A16" s="11" t="s">
        <v>23</v>
      </c>
      <c r="B16" s="12" t="s">
        <v>24</v>
      </c>
    </row>
    <row r="18" spans="1:8" ht="14.4" x14ac:dyDescent="0.3">
      <c r="A18" s="9" t="s">
        <v>25</v>
      </c>
      <c r="B18" s="10"/>
      <c r="C18" s="10"/>
    </row>
    <row r="19" spans="1:8" ht="14.4" x14ac:dyDescent="0.3">
      <c r="A19" s="13" t="s">
        <v>26</v>
      </c>
      <c r="B19" s="13" t="s">
        <v>27</v>
      </c>
      <c r="C19" s="13" t="s">
        <v>28</v>
      </c>
    </row>
    <row r="20" spans="1:8" ht="27.6" x14ac:dyDescent="0.3">
      <c r="A20" s="14" t="s">
        <v>29</v>
      </c>
      <c r="B20" s="12" t="s">
        <v>30</v>
      </c>
      <c r="C20" s="12" t="s">
        <v>31</v>
      </c>
    </row>
    <row r="21" spans="1:8" ht="27.6" x14ac:dyDescent="0.3">
      <c r="A21" s="14" t="s">
        <v>32</v>
      </c>
      <c r="B21" s="12" t="s">
        <v>33</v>
      </c>
      <c r="C21" s="12" t="s">
        <v>34</v>
      </c>
    </row>
    <row r="22" spans="1:8" ht="27.6" x14ac:dyDescent="0.3">
      <c r="A22" s="14" t="s">
        <v>35</v>
      </c>
      <c r="B22" s="15" t="s">
        <v>36</v>
      </c>
      <c r="C22" s="15" t="s">
        <v>37</v>
      </c>
    </row>
    <row r="23" spans="1:8" ht="14.4" x14ac:dyDescent="0.3">
      <c r="A23" s="14" t="s">
        <v>38</v>
      </c>
      <c r="B23" s="12" t="s">
        <v>39</v>
      </c>
      <c r="C23" s="15" t="s">
        <v>36</v>
      </c>
    </row>
    <row r="24" spans="1:8" ht="14.4" x14ac:dyDescent="0.3">
      <c r="A24" s="16" t="s">
        <v>40</v>
      </c>
    </row>
    <row r="25" spans="1:8" ht="14.4" x14ac:dyDescent="0.3">
      <c r="A25" s="9" t="s">
        <v>41</v>
      </c>
      <c r="B25" s="10"/>
      <c r="C25" s="10"/>
    </row>
    <row r="26" spans="1:8" ht="27.6" x14ac:dyDescent="0.3">
      <c r="A26" s="11" t="s">
        <v>42</v>
      </c>
      <c r="B26" s="12" t="s">
        <v>43</v>
      </c>
    </row>
    <row r="27" spans="1:8" ht="14.4" x14ac:dyDescent="0.3">
      <c r="A27" s="11" t="s">
        <v>44</v>
      </c>
      <c r="B27" s="12" t="s">
        <v>45</v>
      </c>
    </row>
    <row r="29" spans="1:8" ht="14.4" x14ac:dyDescent="0.3">
      <c r="A29" s="9" t="s">
        <v>46</v>
      </c>
      <c r="B29" s="10"/>
      <c r="C29" s="10"/>
    </row>
    <row r="30" spans="1:8" ht="14.4" x14ac:dyDescent="0.3">
      <c r="A30" s="13" t="s">
        <v>47</v>
      </c>
      <c r="B30" s="13" t="s">
        <v>48</v>
      </c>
      <c r="C30" s="13" t="s">
        <v>49</v>
      </c>
      <c r="D30" s="13" t="s">
        <v>50</v>
      </c>
      <c r="E30" s="13" t="s">
        <v>51</v>
      </c>
      <c r="F30" s="13" t="s">
        <v>52</v>
      </c>
      <c r="G30" s="13" t="s">
        <v>53</v>
      </c>
      <c r="H30" s="13" t="s">
        <v>54</v>
      </c>
    </row>
    <row r="31" spans="1:8" ht="14.4" x14ac:dyDescent="0.3">
      <c r="A31" s="17" t="s">
        <v>9</v>
      </c>
      <c r="B31" s="18">
        <v>40.81</v>
      </c>
      <c r="C31" s="18">
        <v>42.96</v>
      </c>
      <c r="D31" s="18">
        <v>2</v>
      </c>
      <c r="E31" s="17">
        <f>C31*D31</f>
        <v>85.92</v>
      </c>
      <c r="F31" s="18">
        <v>300</v>
      </c>
      <c r="G31" s="17" t="s">
        <v>55</v>
      </c>
      <c r="H31" s="17">
        <f>E31/13</f>
        <v>6.609230769230769</v>
      </c>
    </row>
    <row r="32" spans="1:8" ht="14.4" x14ac:dyDescent="0.3">
      <c r="A32" s="16" t="s">
        <v>56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68"/>
  <sheetViews>
    <sheetView zoomScaleNormal="100" workbookViewId="0"/>
  </sheetViews>
  <sheetFormatPr defaultColWidth="8.6640625" defaultRowHeight="15" customHeight="1" x14ac:dyDescent="0.3"/>
  <cols>
    <col min="1" max="1" width="4.109375" customWidth="1"/>
    <col min="2" max="2" width="13.6640625" customWidth="1"/>
    <col min="3" max="3" width="16.5546875" customWidth="1"/>
    <col min="4" max="4" width="10.88671875" customWidth="1"/>
    <col min="5" max="5" width="6.88671875" customWidth="1"/>
    <col min="6" max="6" width="8.5546875" customWidth="1"/>
    <col min="7" max="7" width="9.21875" customWidth="1"/>
    <col min="9" max="9" width="7.5546875" customWidth="1"/>
    <col min="10" max="10" width="10.21875" customWidth="1"/>
    <col min="11" max="11" width="13" customWidth="1"/>
    <col min="12" max="12" width="0.21875" customWidth="1"/>
    <col min="13" max="13" width="9.109375" customWidth="1"/>
  </cols>
  <sheetData>
    <row r="1" spans="1:26" ht="13.5" customHeight="1" x14ac:dyDescent="0.3">
      <c r="B1" s="19" t="s">
        <v>57</v>
      </c>
      <c r="C1" s="20" t="str">
        <f>'02 Acts - Data'!B14</f>
        <v>ГКУ «УДМС»</v>
      </c>
      <c r="D1" s="20"/>
      <c r="E1" s="20"/>
      <c r="F1" s="20"/>
      <c r="G1" s="21"/>
      <c r="H1" s="20"/>
      <c r="I1" s="20"/>
      <c r="J1" s="20"/>
      <c r="K1" s="20"/>
    </row>
    <row r="2" spans="1:26" ht="13.5" customHeight="1" x14ac:dyDescent="0.3">
      <c r="B2" s="19" t="s">
        <v>58</v>
      </c>
      <c r="C2" s="20" t="str">
        <f>'02 Acts - Data'!B15</f>
        <v>ООО «Резонанс-Энерго»</v>
      </c>
      <c r="D2" s="20"/>
      <c r="E2" s="20"/>
      <c r="F2" s="20"/>
      <c r="G2" s="21"/>
      <c r="H2" s="20"/>
      <c r="I2" s="20"/>
      <c r="J2" s="20"/>
      <c r="K2" s="20"/>
    </row>
    <row r="3" spans="1:26" ht="50.25" customHeight="1" x14ac:dyDescent="0.3">
      <c r="B3" s="22" t="s">
        <v>59</v>
      </c>
      <c r="C3" s="75" t="str">
        <f>'02 Acts - Data'!B4</f>
        <v>"Строительство улично-дорожной сети с искусственными сооружениями и переустройством инженерных коммуникаций на участке от ул. Маршала Шестопалова до Павелецкого направления Московской железной дороги"</v>
      </c>
      <c r="D3" s="75"/>
      <c r="E3" s="75"/>
      <c r="F3" s="75"/>
      <c r="G3" s="75"/>
      <c r="H3" s="75"/>
      <c r="I3" s="75"/>
      <c r="J3" s="75"/>
      <c r="K3" s="75"/>
    </row>
    <row r="4" spans="1:26" ht="13.5" customHeight="1" x14ac:dyDescent="0.3">
      <c r="B4" s="22" t="s">
        <v>60</v>
      </c>
      <c r="C4" s="23" t="str">
        <f>'02 Acts - Data'!B11</f>
        <v>03.06.2024 г.</v>
      </c>
      <c r="G4" s="76"/>
      <c r="H4" s="76"/>
      <c r="I4" s="76"/>
      <c r="J4" s="76"/>
      <c r="K4" s="24"/>
    </row>
    <row r="5" spans="1:26" ht="9.75" customHeight="1" x14ac:dyDescent="0.3">
      <c r="A5" s="71"/>
      <c r="B5" s="71"/>
      <c r="G5" s="77"/>
      <c r="H5" s="77"/>
      <c r="I5" s="77"/>
      <c r="J5" s="77"/>
      <c r="K5" s="77"/>
      <c r="O5" s="25"/>
      <c r="P5" s="25"/>
      <c r="Q5" s="25"/>
      <c r="R5" s="25"/>
      <c r="S5" s="25"/>
    </row>
    <row r="6" spans="1:26" ht="15.75" customHeight="1" x14ac:dyDescent="0.3">
      <c r="A6" s="72" t="s">
        <v>61</v>
      </c>
      <c r="B6" s="72"/>
      <c r="C6" s="72"/>
      <c r="D6" s="72"/>
      <c r="E6" s="72"/>
      <c r="F6" s="72"/>
      <c r="G6" s="72"/>
      <c r="H6" s="72"/>
      <c r="I6" s="72"/>
      <c r="J6" s="72"/>
      <c r="K6" s="72"/>
    </row>
    <row r="7" spans="1:26" ht="15.75" customHeight="1" x14ac:dyDescent="0.3">
      <c r="A7" s="72" t="s">
        <v>62</v>
      </c>
      <c r="B7" s="72"/>
      <c r="C7" s="72"/>
      <c r="D7" s="72"/>
      <c r="E7" s="72"/>
      <c r="F7" s="72"/>
      <c r="G7" s="72"/>
      <c r="H7" s="72"/>
      <c r="I7" s="72"/>
      <c r="J7" s="72"/>
      <c r="K7" s="72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spans="1:26" ht="11.25" customHeight="1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spans="1:26" ht="15.75" customHeight="1" x14ac:dyDescent="0.3">
      <c r="A9" s="25" t="s">
        <v>63</v>
      </c>
      <c r="B9" s="25"/>
      <c r="C9" s="25"/>
      <c r="D9" s="6"/>
      <c r="E9" s="6"/>
      <c r="F9" s="6"/>
      <c r="G9" s="6"/>
      <c r="H9" s="6"/>
      <c r="I9" s="6"/>
      <c r="J9" s="6"/>
      <c r="K9" s="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spans="1:26" ht="15.75" customHeight="1" x14ac:dyDescent="0.3">
      <c r="A10" s="27"/>
      <c r="B10" s="27"/>
      <c r="C10" s="27"/>
      <c r="D10" s="7"/>
      <c r="E10" s="7"/>
      <c r="F10" s="7"/>
      <c r="G10" s="7"/>
      <c r="H10" s="7"/>
      <c r="I10" s="7"/>
      <c r="J10" s="7"/>
      <c r="K10" s="7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5.75" customHeight="1" x14ac:dyDescent="0.3">
      <c r="A11" s="73" t="s">
        <v>64</v>
      </c>
      <c r="B11" s="73"/>
      <c r="C11" s="73"/>
      <c r="D11" s="73"/>
      <c r="E11" s="73"/>
      <c r="F11" s="27"/>
      <c r="G11" s="27"/>
      <c r="H11" s="27"/>
      <c r="I11" s="27"/>
      <c r="J11" s="27"/>
      <c r="K11" s="27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6" ht="15.75" customHeight="1" x14ac:dyDescent="0.3">
      <c r="A12" s="7" t="str">
        <f>'02 Acts - Data'!B21</f>
        <v>Начальник участка ООО «Резонанс-Энерго» Борков Е.А</v>
      </c>
      <c r="B12" s="28"/>
      <c r="D12" s="7"/>
      <c r="E12" s="7"/>
      <c r="F12" s="7"/>
      <c r="G12" s="7"/>
      <c r="H12" s="7"/>
      <c r="I12" s="7"/>
      <c r="J12" s="7"/>
      <c r="K12" s="7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spans="1:26" ht="15.75" customHeight="1" x14ac:dyDescent="0.3">
      <c r="A13" s="71" t="s">
        <v>65</v>
      </c>
      <c r="B13" s="71"/>
      <c r="C13" s="71"/>
      <c r="D13" s="71"/>
      <c r="E13" s="71"/>
      <c r="F13" s="6"/>
      <c r="G13" s="6"/>
      <c r="H13" s="6"/>
      <c r="I13" s="6"/>
      <c r="J13" s="6"/>
      <c r="K13" s="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spans="1:26" ht="15.75" customHeight="1" x14ac:dyDescent="0.3">
      <c r="A14" s="27" t="s">
        <v>66</v>
      </c>
      <c r="B14" s="5"/>
      <c r="C14" s="27"/>
      <c r="D14" s="5"/>
      <c r="E14" s="29"/>
      <c r="F14" s="29"/>
      <c r="G14" s="29"/>
      <c r="H14" s="29"/>
      <c r="I14" s="29"/>
      <c r="J14" s="74" t="str">
        <f>'02 Acts - Data'!B6</f>
        <v>ГНБ № 10-1С</v>
      </c>
      <c r="K14" s="74"/>
      <c r="L14" s="74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spans="1:26" ht="15.75" customHeight="1" x14ac:dyDescent="0.3">
      <c r="A15" s="27" t="s">
        <v>67</v>
      </c>
      <c r="D15" s="3" t="str">
        <f>'02 Acts - Data'!B5</f>
        <v>По адресу: г. Москва, ул. Кантемировская, д.60</v>
      </c>
      <c r="E15" s="30"/>
      <c r="F15" s="30"/>
      <c r="G15" s="31"/>
      <c r="H15" s="31"/>
      <c r="I15" s="31"/>
      <c r="J15" s="31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6" ht="15.75" customHeight="1" x14ac:dyDescent="0.3">
      <c r="A16" s="7"/>
      <c r="B16" s="6"/>
      <c r="C16" s="27"/>
      <c r="D16" s="6"/>
      <c r="E16" s="6"/>
      <c r="F16" s="6"/>
      <c r="G16" s="6"/>
      <c r="H16" s="6"/>
      <c r="I16" s="6"/>
      <c r="J16" s="6"/>
      <c r="K16" s="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ht="15.75" customHeight="1" x14ac:dyDescent="0.3">
      <c r="A17" s="32" t="s">
        <v>68</v>
      </c>
      <c r="B17" s="5"/>
      <c r="C17" s="27"/>
      <c r="D17" s="5"/>
      <c r="E17" s="5"/>
      <c r="F17" s="5"/>
      <c r="G17" s="5"/>
      <c r="H17" s="5"/>
      <c r="I17" s="5"/>
      <c r="J17" s="5"/>
      <c r="K17" s="5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ht="15.75" customHeight="1" x14ac:dyDescent="0.3">
      <c r="A18" s="33" t="s">
        <v>69</v>
      </c>
      <c r="B18" s="5"/>
      <c r="C18" s="27"/>
      <c r="D18" s="5"/>
      <c r="E18" s="5"/>
      <c r="F18" s="5"/>
      <c r="G18" s="5"/>
      <c r="H18" s="5"/>
      <c r="I18" s="5"/>
      <c r="J18" s="5"/>
      <c r="K18" s="5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spans="1:26" ht="15.75" customHeight="1" x14ac:dyDescent="0.3">
      <c r="A19" s="33" t="s">
        <v>70</v>
      </c>
      <c r="B19" s="5"/>
      <c r="C19" s="27"/>
      <c r="D19" s="5"/>
      <c r="E19" s="5"/>
      <c r="F19" s="5"/>
      <c r="G19" s="5"/>
      <c r="H19" s="5"/>
      <c r="I19" s="5"/>
      <c r="J19" s="5"/>
      <c r="K19" s="5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spans="1:26" ht="15.75" customHeight="1" x14ac:dyDescent="0.3">
      <c r="A20" s="7"/>
      <c r="B20" s="5"/>
      <c r="C20" s="27"/>
      <c r="D20" s="5"/>
      <c r="E20" s="5"/>
      <c r="F20" s="5"/>
      <c r="G20" s="5"/>
      <c r="H20" s="5"/>
      <c r="I20" s="5"/>
      <c r="J20" s="5"/>
      <c r="K20" s="5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spans="1:26" ht="15.75" customHeight="1" x14ac:dyDescent="0.3">
      <c r="A21" s="33" t="s">
        <v>71</v>
      </c>
      <c r="B21" s="5"/>
      <c r="C21" s="27"/>
      <c r="D21" s="5"/>
      <c r="E21" s="5"/>
      <c r="F21" s="74" t="str">
        <f>'02 Acts - Data'!B6</f>
        <v>ГНБ № 10-1С</v>
      </c>
      <c r="G21" s="74"/>
      <c r="H21" s="74"/>
      <c r="I21" s="7" t="s">
        <v>72</v>
      </c>
      <c r="J21" s="5"/>
      <c r="K21" s="5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spans="1:26" ht="15.75" customHeight="1" x14ac:dyDescent="0.3">
      <c r="A22" s="33" t="s">
        <v>73</v>
      </c>
      <c r="B22" s="5"/>
      <c r="C22" s="27"/>
      <c r="D22" s="5"/>
      <c r="E22" s="5"/>
      <c r="F22" s="5"/>
      <c r="G22" s="5"/>
      <c r="H22" s="5"/>
      <c r="I22" s="5"/>
      <c r="J22" s="5"/>
      <c r="K22" s="5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spans="1:26" ht="15.75" customHeight="1" x14ac:dyDescent="0.3">
      <c r="A23" s="33"/>
      <c r="B23" s="5"/>
      <c r="C23" s="27"/>
      <c r="D23" s="5"/>
      <c r="E23" s="5"/>
      <c r="F23" s="5"/>
      <c r="G23" s="5"/>
      <c r="H23" s="5"/>
      <c r="I23" s="5"/>
      <c r="J23" s="5"/>
      <c r="K23" s="5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spans="1:26" ht="15.75" customHeight="1" x14ac:dyDescent="0.3"/>
    <row r="25" spans="1:26" ht="15.75" customHeight="1" x14ac:dyDescent="0.3"/>
    <row r="26" spans="1:26" ht="15.75" customHeight="1" x14ac:dyDescent="0.3">
      <c r="A26" s="7"/>
      <c r="C26" s="7"/>
      <c r="D26" s="7"/>
      <c r="E26" s="7"/>
      <c r="F26" s="7"/>
      <c r="G26" s="7"/>
      <c r="H26" s="7"/>
      <c r="I26" s="7"/>
    </row>
    <row r="27" spans="1:26" ht="15.75" customHeight="1" x14ac:dyDescent="0.3">
      <c r="A27" s="7"/>
      <c r="C27" s="7"/>
      <c r="D27" s="7"/>
      <c r="E27" s="7"/>
      <c r="F27" s="7"/>
      <c r="G27" s="7"/>
      <c r="H27" s="7"/>
      <c r="I27" s="7"/>
    </row>
    <row r="28" spans="1:26" ht="15.75" customHeight="1" x14ac:dyDescent="0.3">
      <c r="A28" s="7" t="str">
        <f>'02 Acts - Data'!C21</f>
        <v>Начальник участка ООО «Резонанс-Энерго» ______________________Борков Е.А</v>
      </c>
      <c r="C28" s="7"/>
      <c r="D28" s="7"/>
      <c r="E28" s="7"/>
      <c r="F28" s="7"/>
      <c r="G28" s="7"/>
      <c r="H28" s="7"/>
      <c r="I28" s="7"/>
    </row>
    <row r="29" spans="1:26" ht="15.75" customHeight="1" x14ac:dyDescent="0.3">
      <c r="A29" s="7"/>
      <c r="C29" s="7"/>
      <c r="D29" s="7"/>
      <c r="E29" s="7"/>
      <c r="F29" s="7"/>
      <c r="G29" s="7"/>
      <c r="H29" s="7"/>
      <c r="I29" s="7"/>
    </row>
    <row r="30" spans="1:26" ht="15.75" customHeight="1" x14ac:dyDescent="0.3">
      <c r="A30" s="7"/>
      <c r="C30" s="7"/>
      <c r="D30" s="7"/>
      <c r="E30" s="7"/>
      <c r="F30" s="7"/>
      <c r="G30" s="7"/>
      <c r="H30" s="7"/>
      <c r="I30" s="7"/>
    </row>
    <row r="31" spans="1:26" ht="15.75" customHeight="1" x14ac:dyDescent="0.3">
      <c r="A31" s="7" t="str">
        <f>'02 Acts - Data'!C22</f>
        <v>Инженер-геодезист ООО «Резонанс-Энерго» ______________________Минаков Н.А.</v>
      </c>
      <c r="C31" s="7"/>
      <c r="D31" s="7"/>
      <c r="E31" s="7"/>
      <c r="F31" s="7"/>
      <c r="G31" s="7"/>
      <c r="H31" s="7"/>
      <c r="I31" s="7"/>
    </row>
    <row r="32" spans="1:26" ht="15.75" customHeight="1" x14ac:dyDescent="0.3">
      <c r="A32" s="7"/>
      <c r="C32" s="7"/>
      <c r="D32" s="7"/>
      <c r="E32" s="7"/>
      <c r="F32" s="7"/>
      <c r="G32" s="7"/>
      <c r="H32" s="7"/>
      <c r="I32" s="7"/>
    </row>
    <row r="33" spans="1:8" ht="15.75" customHeight="1" x14ac:dyDescent="0.3">
      <c r="A33" s="71" t="s">
        <v>74</v>
      </c>
      <c r="B33" s="71"/>
      <c r="C33" s="71"/>
      <c r="D33" s="71"/>
      <c r="E33" s="71"/>
      <c r="F33" s="71"/>
      <c r="G33" s="71"/>
      <c r="H33" s="71"/>
    </row>
    <row r="34" spans="1:8" ht="15.75" customHeight="1" x14ac:dyDescent="0.3"/>
    <row r="35" spans="1:8" ht="15.75" customHeight="1" x14ac:dyDescent="0.3"/>
    <row r="36" spans="1:8" ht="15.75" customHeight="1" x14ac:dyDescent="0.3"/>
    <row r="37" spans="1:8" ht="15.75" customHeight="1" x14ac:dyDescent="0.3"/>
    <row r="38" spans="1:8" ht="15.75" customHeight="1" x14ac:dyDescent="0.3"/>
    <row r="39" spans="1:8" ht="15.75" customHeight="1" x14ac:dyDescent="0.3"/>
    <row r="40" spans="1:8" ht="15.75" customHeight="1" x14ac:dyDescent="0.3"/>
    <row r="41" spans="1:8" ht="15.75" customHeight="1" x14ac:dyDescent="0.3"/>
    <row r="42" spans="1:8" ht="15.75" customHeight="1" x14ac:dyDescent="0.3"/>
    <row r="43" spans="1:8" ht="15.75" customHeight="1" x14ac:dyDescent="0.3"/>
    <row r="44" spans="1:8" ht="15.75" customHeight="1" x14ac:dyDescent="0.3"/>
    <row r="45" spans="1:8" ht="15.75" customHeight="1" x14ac:dyDescent="0.3"/>
    <row r="46" spans="1:8" ht="15.75" customHeight="1" x14ac:dyDescent="0.3"/>
    <row r="47" spans="1:8" ht="15.75" customHeight="1" x14ac:dyDescent="0.3"/>
    <row r="48" spans="1: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</sheetData>
  <mergeCells count="11">
    <mergeCell ref="C3:K3"/>
    <mergeCell ref="G4:J4"/>
    <mergeCell ref="A5:B5"/>
    <mergeCell ref="G5:K5"/>
    <mergeCell ref="A6:K6"/>
    <mergeCell ref="A33:H33"/>
    <mergeCell ref="A7:K7"/>
    <mergeCell ref="A11:E11"/>
    <mergeCell ref="A13:E13"/>
    <mergeCell ref="J14:L14"/>
    <mergeCell ref="F21:H2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75"/>
  <sheetViews>
    <sheetView zoomScaleNormal="100" workbookViewId="0"/>
  </sheetViews>
  <sheetFormatPr defaultColWidth="8.6640625" defaultRowHeight="15" customHeight="1" x14ac:dyDescent="0.3"/>
  <cols>
    <col min="1" max="1" width="4.109375" customWidth="1"/>
    <col min="2" max="2" width="13.6640625" customWidth="1"/>
    <col min="3" max="3" width="16.5546875" customWidth="1"/>
    <col min="4" max="4" width="10.88671875" customWidth="1"/>
    <col min="5" max="5" width="6.44140625" customWidth="1"/>
    <col min="6" max="6" width="8.5546875" customWidth="1"/>
    <col min="7" max="7" width="10.88671875" customWidth="1"/>
    <col min="8" max="8" width="9.21875" customWidth="1"/>
    <col min="10" max="10" width="8.44140625" customWidth="1"/>
    <col min="11" max="11" width="13" customWidth="1"/>
    <col min="12" max="12" width="0.21875" customWidth="1"/>
    <col min="13" max="13" width="9.109375" customWidth="1"/>
  </cols>
  <sheetData>
    <row r="1" spans="1:26" ht="13.5" customHeight="1" x14ac:dyDescent="0.3">
      <c r="B1" s="19" t="s">
        <v>57</v>
      </c>
      <c r="C1" s="20" t="str">
        <f>'02 Acts - Data'!B14</f>
        <v>ГКУ «УДМС»</v>
      </c>
      <c r="D1" s="20"/>
      <c r="E1" s="20"/>
      <c r="F1" s="20"/>
      <c r="G1" s="21"/>
      <c r="H1" s="20"/>
      <c r="I1" s="20"/>
      <c r="J1" s="20"/>
      <c r="K1" s="20"/>
    </row>
    <row r="2" spans="1:26" ht="13.5" customHeight="1" x14ac:dyDescent="0.3">
      <c r="B2" s="19" t="s">
        <v>75</v>
      </c>
      <c r="C2" s="20" t="str">
        <f>'02 Acts - Data'!B15</f>
        <v>ООО «Резонанс-Энерго»</v>
      </c>
      <c r="D2" s="20"/>
      <c r="E2" s="20"/>
      <c r="F2" s="20"/>
      <c r="G2" s="21"/>
      <c r="H2" s="20"/>
      <c r="I2" s="20"/>
      <c r="J2" s="20"/>
      <c r="K2" s="20"/>
    </row>
    <row r="3" spans="1:26" ht="51.75" customHeight="1" x14ac:dyDescent="0.3">
      <c r="B3" s="22" t="s">
        <v>59</v>
      </c>
      <c r="C3" s="75" t="str">
        <f>'02 Acts - Data'!B4</f>
        <v>"Строительство улично-дорожной сети с искусственными сооружениями и переустройством инженерных коммуникаций на участке от ул. Маршала Шестопалова до Павелецкого направления Московской железной дороги"</v>
      </c>
      <c r="D3" s="75"/>
      <c r="E3" s="75"/>
      <c r="F3" s="75"/>
      <c r="G3" s="75"/>
      <c r="H3" s="75"/>
      <c r="I3" s="75"/>
      <c r="J3" s="75"/>
      <c r="K3" s="75"/>
    </row>
    <row r="4" spans="1:26" ht="13.5" customHeight="1" x14ac:dyDescent="0.3">
      <c r="B4" s="22" t="s">
        <v>60</v>
      </c>
      <c r="C4" s="23" t="str">
        <f>'02 Acts - Data'!B11</f>
        <v>03.06.2024 г.</v>
      </c>
      <c r="G4" s="76"/>
      <c r="H4" s="76"/>
      <c r="I4" s="76"/>
      <c r="J4" s="76"/>
      <c r="K4" s="24"/>
    </row>
    <row r="5" spans="1:26" ht="9.75" customHeight="1" x14ac:dyDescent="0.3">
      <c r="A5" s="71"/>
      <c r="B5" s="71"/>
      <c r="G5" s="77"/>
      <c r="H5" s="77"/>
      <c r="I5" s="77"/>
      <c r="J5" s="77"/>
      <c r="K5" s="77"/>
      <c r="O5" s="25"/>
      <c r="P5" s="25"/>
      <c r="Q5" s="25"/>
      <c r="R5" s="25"/>
      <c r="S5" s="25"/>
    </row>
    <row r="6" spans="1:26" ht="13.5" customHeight="1" x14ac:dyDescent="0.3">
      <c r="A6" s="72" t="s">
        <v>61</v>
      </c>
      <c r="B6" s="72"/>
      <c r="C6" s="72"/>
      <c r="D6" s="72"/>
      <c r="E6" s="72"/>
      <c r="F6" s="72"/>
      <c r="G6" s="72"/>
      <c r="H6" s="72"/>
      <c r="I6" s="72"/>
      <c r="J6" s="72"/>
      <c r="K6" s="72"/>
    </row>
    <row r="7" spans="1:26" ht="13.5" customHeight="1" x14ac:dyDescent="0.3">
      <c r="A7" s="72" t="s">
        <v>76</v>
      </c>
      <c r="B7" s="72"/>
      <c r="C7" s="72"/>
      <c r="D7" s="72"/>
      <c r="E7" s="72"/>
      <c r="F7" s="72"/>
      <c r="G7" s="72"/>
      <c r="H7" s="72"/>
      <c r="I7" s="72"/>
      <c r="J7" s="72"/>
      <c r="K7" s="72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spans="1:26" ht="13.5" customHeight="1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spans="1:26" ht="13.5" customHeight="1" x14ac:dyDescent="0.3">
      <c r="A9" s="25" t="s">
        <v>63</v>
      </c>
      <c r="B9" s="25"/>
      <c r="C9" s="25"/>
      <c r="D9" s="6"/>
      <c r="E9" s="6"/>
      <c r="F9" s="6"/>
      <c r="G9" s="6"/>
      <c r="H9" s="6"/>
      <c r="I9" s="6"/>
      <c r="J9" s="6"/>
      <c r="K9" s="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spans="1:26" ht="13.5" customHeight="1" x14ac:dyDescent="0.3">
      <c r="A10" s="27"/>
      <c r="B10" s="28"/>
      <c r="D10" s="7"/>
      <c r="E10" s="7"/>
      <c r="F10" s="7"/>
      <c r="G10" s="7"/>
      <c r="H10" s="7"/>
      <c r="I10" s="7"/>
      <c r="J10" s="7"/>
      <c r="K10" s="7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3.5" customHeight="1" x14ac:dyDescent="0.3">
      <c r="A11" s="27" t="str">
        <f>'02 Acts - Data'!B20</f>
        <v xml:space="preserve">Представитель ЮРЭС АО "ОЭК" </v>
      </c>
      <c r="B11" s="28"/>
      <c r="D11" s="27"/>
      <c r="E11" s="27"/>
      <c r="F11" s="27"/>
      <c r="G11" s="27"/>
      <c r="H11" s="27"/>
      <c r="I11" s="27"/>
      <c r="J11" s="27"/>
      <c r="K11" s="27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6" ht="13.5" customHeight="1" x14ac:dyDescent="0.3">
      <c r="A12" s="7" t="str">
        <f>'02 Acts - Data'!B21</f>
        <v>Начальник участка ООО «Резонанс-Энерго» Борков Е.А</v>
      </c>
      <c r="B12" s="28"/>
      <c r="D12" s="7"/>
      <c r="E12" s="7"/>
      <c r="F12" s="7"/>
      <c r="G12" s="7"/>
      <c r="H12" s="7"/>
      <c r="I12" s="7"/>
      <c r="J12" s="7"/>
      <c r="K12" s="7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spans="1:26" ht="13.5" customHeight="1" x14ac:dyDescent="0.3">
      <c r="A13" s="6"/>
      <c r="B13" s="6"/>
      <c r="C13" s="27"/>
      <c r="D13" s="6"/>
      <c r="E13" s="6"/>
      <c r="F13" s="6"/>
      <c r="G13" s="6"/>
      <c r="H13" s="6"/>
      <c r="I13" s="6"/>
      <c r="J13" s="6"/>
      <c r="K13" s="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spans="1:26" ht="14.25" customHeight="1" x14ac:dyDescent="0.3">
      <c r="A14" s="25" t="s">
        <v>77</v>
      </c>
      <c r="B14" s="5"/>
      <c r="C14" s="27"/>
      <c r="D14" s="5"/>
      <c r="E14" s="74" t="str">
        <f>'02 Acts - Data'!B10</f>
        <v>ООО «Резонанс-Энерго»</v>
      </c>
      <c r="F14" s="74"/>
      <c r="G14" s="74"/>
      <c r="H14" s="29"/>
      <c r="I14" s="29"/>
      <c r="J14" s="29"/>
      <c r="K14" s="27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spans="1:26" ht="14.25" customHeight="1" x14ac:dyDescent="0.3">
      <c r="A15" s="29" t="s">
        <v>78</v>
      </c>
      <c r="B15" s="29"/>
      <c r="C15" s="29"/>
      <c r="D15" s="27"/>
      <c r="E15" s="27"/>
      <c r="F15" s="29"/>
      <c r="G15" s="29"/>
      <c r="H15" s="29"/>
      <c r="I15" s="29"/>
      <c r="J15" s="27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6" ht="13.5" customHeight="1" x14ac:dyDescent="0.3">
      <c r="A16" s="7" t="s">
        <v>79</v>
      </c>
      <c r="B16" s="5"/>
      <c r="C16" s="27"/>
      <c r="D16" s="6"/>
      <c r="E16" s="6"/>
      <c r="F16" s="6"/>
      <c r="G16" s="6"/>
      <c r="H16" s="6"/>
      <c r="I16" s="6"/>
      <c r="J16" s="6"/>
      <c r="K16" s="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ht="14.25" customHeight="1" x14ac:dyDescent="0.3">
      <c r="A17" s="7" t="s">
        <v>80</v>
      </c>
      <c r="B17" s="5"/>
      <c r="C17" s="27"/>
      <c r="D17" s="29"/>
      <c r="E17" s="29"/>
      <c r="F17" s="74" t="str">
        <f>'02 Acts - Data'!B6</f>
        <v>ГНБ № 10-1С</v>
      </c>
      <c r="G17" s="74"/>
      <c r="H17" s="74"/>
      <c r="I17" s="7" t="s">
        <v>81</v>
      </c>
      <c r="J17" s="5"/>
      <c r="K17" s="5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ht="14.25" customHeight="1" x14ac:dyDescent="0.3">
      <c r="A18" s="7" t="s">
        <v>82</v>
      </c>
      <c r="B18" s="5"/>
      <c r="C18" s="78" t="str">
        <f>'02 Acts - Data'!B5</f>
        <v>По адресу: г. Москва, ул. Кантемировская, д.60</v>
      </c>
      <c r="D18" s="78"/>
      <c r="E18" s="78"/>
      <c r="F18" s="78"/>
      <c r="G18" s="78"/>
      <c r="H18" s="78"/>
      <c r="I18" s="7"/>
      <c r="J18" s="5"/>
      <c r="K18" s="5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spans="1:26" ht="14.25" customHeight="1" x14ac:dyDescent="0.3">
      <c r="A19" s="32"/>
      <c r="B19" s="32"/>
      <c r="C19" s="27"/>
      <c r="D19" s="1"/>
      <c r="E19" s="1"/>
      <c r="F19" s="34"/>
      <c r="G19" s="1"/>
      <c r="H19" s="1"/>
      <c r="I19" s="34"/>
      <c r="J19" s="5"/>
      <c r="K19" s="5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spans="1:26" ht="14.25" customHeight="1" x14ac:dyDescent="0.3">
      <c r="A20" s="7" t="s">
        <v>83</v>
      </c>
      <c r="B20" s="7"/>
      <c r="C20" s="27"/>
      <c r="D20" s="74" t="str">
        <f>'02 Acts - Data'!B16</f>
        <v>АО "МОСИНЖПРОЕКТ"</v>
      </c>
      <c r="E20" s="74"/>
      <c r="F20" s="74"/>
      <c r="G20" s="1" t="s">
        <v>84</v>
      </c>
      <c r="H20" s="30" t="str">
        <f>'02 Acts - Data'!B7</f>
        <v>ИМ-19-4-Р-3.2Э-ЗП2</v>
      </c>
      <c r="I20" s="30"/>
      <c r="J20" s="30"/>
      <c r="K20" s="5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spans="1:26" ht="14.25" customHeight="1" x14ac:dyDescent="0.3">
      <c r="A21" s="7"/>
      <c r="B21" s="7"/>
      <c r="C21" s="27"/>
      <c r="D21" s="34"/>
      <c r="E21" s="34"/>
      <c r="F21" s="34"/>
      <c r="G21" s="1"/>
      <c r="H21" s="34"/>
      <c r="I21" s="34"/>
      <c r="J21" s="34"/>
      <c r="K21" s="5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spans="1:26" ht="14.25" customHeight="1" x14ac:dyDescent="0.3">
      <c r="A22" s="7" t="s">
        <v>85</v>
      </c>
      <c r="B22" s="7"/>
      <c r="C22" s="27"/>
      <c r="D22" s="34"/>
      <c r="E22" s="78" t="str">
        <f>'02 Acts - Data'!B27</f>
        <v xml:space="preserve"> d=110 мм.</v>
      </c>
      <c r="F22" s="78"/>
      <c r="G22" s="78"/>
      <c r="H22" s="78"/>
      <c r="I22" s="78"/>
      <c r="J22" s="78"/>
      <c r="K22" s="5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spans="1:26" ht="13.5" customHeight="1" x14ac:dyDescent="0.3">
      <c r="A23" s="32"/>
      <c r="B23" s="32"/>
      <c r="C23" s="27"/>
      <c r="D23" s="1"/>
      <c r="E23" s="20"/>
      <c r="F23" s="20"/>
      <c r="G23" s="1"/>
      <c r="H23" s="27"/>
      <c r="I23" s="27"/>
      <c r="J23" s="5"/>
      <c r="K23" s="5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spans="1:26" ht="14.25" customHeight="1" x14ac:dyDescent="0.3">
      <c r="A24" s="7" t="s">
        <v>86</v>
      </c>
      <c r="B24" s="32"/>
      <c r="C24" s="27"/>
      <c r="D24" s="79" t="str">
        <f>'02 Acts - Data'!B8</f>
        <v>01.06.2024 г.</v>
      </c>
      <c r="E24" s="79"/>
      <c r="F24" s="79"/>
      <c r="G24" s="1"/>
      <c r="H24" s="20"/>
      <c r="I24" s="20"/>
      <c r="J24" s="5"/>
      <c r="K24" s="5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spans="1:26" ht="13.5" customHeight="1" x14ac:dyDescent="0.3">
      <c r="A25" s="32"/>
      <c r="B25" s="32"/>
      <c r="C25" s="27"/>
      <c r="D25" s="20"/>
      <c r="E25" s="5"/>
      <c r="F25" s="5"/>
      <c r="G25" s="5"/>
      <c r="H25" s="5"/>
      <c r="I25" s="5"/>
      <c r="J25" s="5"/>
      <c r="K25" s="5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spans="1:26" ht="14.25" customHeight="1" x14ac:dyDescent="0.3">
      <c r="A26" s="7" t="s">
        <v>87</v>
      </c>
      <c r="B26" s="32"/>
      <c r="C26" s="27"/>
      <c r="D26" s="80" t="str">
        <f>'02 Acts - Data'!B9</f>
        <v>03.06.2024 г.</v>
      </c>
      <c r="E26" s="80"/>
      <c r="F26" s="80"/>
      <c r="G26" s="5"/>
      <c r="H26" s="5"/>
      <c r="I26" s="5"/>
      <c r="J26" s="5"/>
      <c r="K26" s="5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spans="1:26" ht="13.5" customHeight="1" x14ac:dyDescent="0.3">
      <c r="A27" s="32"/>
      <c r="B27" s="32"/>
      <c r="C27" s="27"/>
      <c r="D27" s="5"/>
      <c r="E27" s="5"/>
      <c r="F27" s="5"/>
      <c r="G27" s="5"/>
      <c r="H27" s="5"/>
      <c r="I27" s="5"/>
      <c r="J27" s="5"/>
      <c r="K27" s="5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spans="1:26" ht="13.5" customHeight="1" x14ac:dyDescent="0.3">
      <c r="A28" s="72" t="s">
        <v>88</v>
      </c>
      <c r="B28" s="72"/>
      <c r="C28" s="72"/>
      <c r="D28" s="72"/>
      <c r="E28" s="72"/>
      <c r="F28" s="72"/>
      <c r="G28" s="72"/>
      <c r="H28" s="72"/>
      <c r="I28" s="72"/>
      <c r="J28" s="72"/>
      <c r="K28" s="72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spans="1:26" ht="13.5" customHeight="1" x14ac:dyDescent="0.3">
      <c r="A29" s="7" t="s">
        <v>89</v>
      </c>
      <c r="B29" s="32"/>
      <c r="C29" s="27"/>
      <c r="D29" s="5"/>
      <c r="E29" s="5"/>
      <c r="F29" s="5"/>
      <c r="G29" s="5"/>
      <c r="H29" s="5"/>
      <c r="I29" s="5"/>
      <c r="J29" s="5"/>
      <c r="K29" s="5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spans="1:26" ht="14.25" customHeight="1" x14ac:dyDescent="0.3">
      <c r="A30" s="7" t="s">
        <v>90</v>
      </c>
      <c r="B30" s="32"/>
      <c r="C30" s="27"/>
      <c r="D30" s="5"/>
      <c r="E30" s="29"/>
      <c r="F30" s="29"/>
      <c r="G30" s="29"/>
      <c r="H30" s="32"/>
      <c r="I30" s="5"/>
      <c r="J30" s="5"/>
      <c r="K30" s="5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spans="1:26" ht="14.25" customHeight="1" x14ac:dyDescent="0.3">
      <c r="A31" s="32"/>
      <c r="B31" s="32"/>
      <c r="C31" s="27"/>
      <c r="D31" s="5"/>
      <c r="E31" s="34"/>
      <c r="F31" s="34"/>
      <c r="G31" s="34"/>
      <c r="H31" s="32"/>
      <c r="I31" s="5"/>
      <c r="J31" s="5"/>
      <c r="K31" s="5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spans="1:26" ht="13.5" customHeight="1" x14ac:dyDescent="0.3">
      <c r="A32" s="32"/>
      <c r="B32" s="32"/>
      <c r="C32" s="27"/>
      <c r="D32" s="5"/>
      <c r="E32" s="5"/>
      <c r="F32" s="5"/>
      <c r="G32" s="5"/>
      <c r="H32" s="5"/>
      <c r="I32" s="5"/>
      <c r="J32" s="5"/>
      <c r="K32" s="5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5" spans="1:9" ht="13.5" customHeight="1" x14ac:dyDescent="0.3">
      <c r="A35" s="7" t="str">
        <f>'02 Acts - Data'!C20</f>
        <v>Представитель Южного РЭС АО "ОЭК" ____________________</v>
      </c>
      <c r="C35" s="7"/>
      <c r="D35" s="7"/>
      <c r="E35" s="7"/>
      <c r="F35" s="7"/>
      <c r="G35" s="7"/>
      <c r="H35" s="7"/>
      <c r="I35" s="7"/>
    </row>
    <row r="36" spans="1:9" ht="13.5" customHeight="1" x14ac:dyDescent="0.3">
      <c r="A36" s="7"/>
      <c r="C36" s="7"/>
      <c r="D36" s="7"/>
      <c r="E36" s="7"/>
      <c r="F36" s="7"/>
      <c r="G36" s="7"/>
      <c r="H36" s="7"/>
      <c r="I36" s="7"/>
    </row>
    <row r="37" spans="1:9" ht="13.5" customHeight="1" x14ac:dyDescent="0.3">
      <c r="A37" s="7" t="str">
        <f>'02 Acts - Data'!C21</f>
        <v>Начальник участка ООО «Резонанс-Энерго» ______________________Борков Е.А</v>
      </c>
      <c r="C37" s="7"/>
      <c r="D37" s="7"/>
      <c r="E37" s="7"/>
      <c r="F37" s="7"/>
      <c r="G37" s="7"/>
      <c r="H37" s="7"/>
      <c r="I37" s="7"/>
    </row>
    <row r="38" spans="1:9" ht="13.5" customHeight="1" x14ac:dyDescent="0.3">
      <c r="A38" s="7"/>
      <c r="C38" s="7"/>
      <c r="D38" s="7"/>
      <c r="E38" s="7"/>
      <c r="F38" s="7"/>
      <c r="G38" s="7"/>
      <c r="H38" s="7"/>
      <c r="I38" s="7"/>
    </row>
    <row r="39" spans="1:9" ht="13.5" customHeight="1" x14ac:dyDescent="0.3">
      <c r="A39" s="7"/>
      <c r="C39" s="7"/>
      <c r="D39" s="7"/>
      <c r="E39" s="7"/>
      <c r="F39" s="7"/>
      <c r="G39" s="7"/>
      <c r="H39" s="7"/>
      <c r="I39" s="7"/>
    </row>
    <row r="42" spans="1:9" ht="15.75" customHeight="1" x14ac:dyDescent="0.3"/>
    <row r="43" spans="1:9" ht="15.75" customHeight="1" x14ac:dyDescent="0.3"/>
    <row r="44" spans="1:9" ht="15.75" customHeight="1" x14ac:dyDescent="0.3"/>
    <row r="45" spans="1:9" ht="15.75" customHeight="1" x14ac:dyDescent="0.3"/>
    <row r="46" spans="1:9" ht="15.75" customHeight="1" x14ac:dyDescent="0.3"/>
    <row r="47" spans="1:9" ht="15.75" customHeight="1" x14ac:dyDescent="0.3"/>
    <row r="48" spans="1:9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</sheetData>
  <mergeCells count="14">
    <mergeCell ref="C3:K3"/>
    <mergeCell ref="G4:J4"/>
    <mergeCell ref="A5:B5"/>
    <mergeCell ref="G5:K5"/>
    <mergeCell ref="A6:K6"/>
    <mergeCell ref="E22:J22"/>
    <mergeCell ref="D24:F24"/>
    <mergeCell ref="D26:F26"/>
    <mergeCell ref="A28:K28"/>
    <mergeCell ref="A7:K7"/>
    <mergeCell ref="E14:G14"/>
    <mergeCell ref="F17:H17"/>
    <mergeCell ref="C18:H18"/>
    <mergeCell ref="D20:F20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72"/>
  <sheetViews>
    <sheetView zoomScaleNormal="100" workbookViewId="0"/>
  </sheetViews>
  <sheetFormatPr defaultColWidth="8.6640625" defaultRowHeight="15" customHeight="1" x14ac:dyDescent="0.3"/>
  <cols>
    <col min="1" max="1" width="4.109375" customWidth="1"/>
    <col min="2" max="2" width="13.6640625" customWidth="1"/>
    <col min="3" max="3" width="16.5546875" customWidth="1"/>
    <col min="4" max="4" width="20" customWidth="1"/>
    <col min="5" max="5" width="8" customWidth="1"/>
    <col min="6" max="6" width="8.5546875" customWidth="1"/>
    <col min="7" max="7" width="10.88671875" customWidth="1"/>
    <col min="8" max="8" width="9.21875" customWidth="1"/>
    <col min="10" max="10" width="8.44140625" customWidth="1"/>
    <col min="11" max="11" width="14.88671875" customWidth="1"/>
    <col min="12" max="12" width="0.21875" customWidth="1"/>
    <col min="13" max="13" width="9.109375" customWidth="1"/>
  </cols>
  <sheetData>
    <row r="1" spans="1:26" ht="13.5" customHeight="1" x14ac:dyDescent="0.3">
      <c r="B1" s="19" t="s">
        <v>57</v>
      </c>
      <c r="C1" s="20" t="str">
        <f>'02 Acts - Data'!B14</f>
        <v>ГКУ «УДМС»</v>
      </c>
      <c r="D1" s="20"/>
      <c r="E1" s="20"/>
      <c r="F1" s="20"/>
      <c r="G1" s="21"/>
      <c r="H1" s="20"/>
      <c r="I1" s="20"/>
      <c r="J1" s="20"/>
      <c r="K1" s="20"/>
    </row>
    <row r="2" spans="1:26" ht="13.5" customHeight="1" x14ac:dyDescent="0.3">
      <c r="B2" s="19" t="s">
        <v>75</v>
      </c>
      <c r="C2" s="20" t="str">
        <f>'02 Acts - Data'!B15</f>
        <v>ООО «Резонанс-Энерго»</v>
      </c>
      <c r="D2" s="20"/>
      <c r="E2" s="20"/>
      <c r="F2" s="20"/>
      <c r="G2" s="21"/>
      <c r="H2" s="20"/>
      <c r="I2" s="20"/>
      <c r="J2" s="20"/>
      <c r="K2" s="20"/>
    </row>
    <row r="3" spans="1:26" ht="39.75" customHeight="1" x14ac:dyDescent="0.3">
      <c r="B3" s="22" t="s">
        <v>59</v>
      </c>
      <c r="C3" s="75" t="str">
        <f>'02 Acts - Data'!B4</f>
        <v>"Строительство улично-дорожной сети с искусственными сооружениями и переустройством инженерных коммуникаций на участке от ул. Маршала Шестопалова до Павелецкого направления Московской железной дороги"</v>
      </c>
      <c r="D3" s="75"/>
      <c r="E3" s="75"/>
      <c r="F3" s="75"/>
      <c r="G3" s="75"/>
      <c r="H3" s="75"/>
      <c r="I3" s="75"/>
      <c r="J3" s="75"/>
      <c r="K3" s="75"/>
    </row>
    <row r="4" spans="1:26" ht="13.5" customHeight="1" x14ac:dyDescent="0.3">
      <c r="B4" s="22" t="s">
        <v>60</v>
      </c>
      <c r="C4" s="23" t="str">
        <f>'02 Acts - Data'!B11</f>
        <v>03.06.2024 г.</v>
      </c>
      <c r="G4" s="76"/>
      <c r="H4" s="76"/>
      <c r="I4" s="76"/>
      <c r="J4" s="76"/>
      <c r="K4" s="24"/>
    </row>
    <row r="5" spans="1:26" ht="9.75" customHeight="1" x14ac:dyDescent="0.3">
      <c r="A5" s="71"/>
      <c r="B5" s="71"/>
      <c r="G5" s="77"/>
      <c r="H5" s="77"/>
      <c r="I5" s="77"/>
      <c r="J5" s="77"/>
      <c r="K5" s="77"/>
      <c r="O5" s="25"/>
      <c r="P5" s="25"/>
      <c r="Q5" s="25"/>
      <c r="R5" s="25"/>
      <c r="S5" s="25"/>
    </row>
    <row r="6" spans="1:26" ht="13.5" customHeight="1" x14ac:dyDescent="0.3">
      <c r="A6" s="72" t="s">
        <v>61</v>
      </c>
      <c r="B6" s="72"/>
      <c r="C6" s="72"/>
      <c r="D6" s="72"/>
      <c r="E6" s="72"/>
      <c r="F6" s="72"/>
      <c r="G6" s="72"/>
      <c r="H6" s="72"/>
      <c r="I6" s="72"/>
      <c r="J6" s="72"/>
      <c r="K6" s="72"/>
    </row>
    <row r="7" spans="1:26" ht="13.5" customHeight="1" x14ac:dyDescent="0.3">
      <c r="A7" s="72" t="s">
        <v>91</v>
      </c>
      <c r="B7" s="72"/>
      <c r="C7" s="72"/>
      <c r="D7" s="72"/>
      <c r="E7" s="72"/>
      <c r="F7" s="72"/>
      <c r="G7" s="72"/>
      <c r="H7" s="72"/>
      <c r="I7" s="72"/>
      <c r="J7" s="72"/>
      <c r="K7" s="72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spans="1:26" ht="13.5" customHeight="1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spans="1:26" ht="13.5" customHeight="1" x14ac:dyDescent="0.3">
      <c r="A9" s="25" t="s">
        <v>63</v>
      </c>
      <c r="B9" s="25"/>
      <c r="C9" s="25"/>
      <c r="D9" s="6"/>
      <c r="E9" s="6"/>
      <c r="F9" s="6"/>
      <c r="G9" s="6"/>
      <c r="H9" s="6"/>
      <c r="I9" s="6"/>
      <c r="J9" s="6"/>
      <c r="K9" s="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spans="1:26" ht="13.5" customHeight="1" x14ac:dyDescent="0.3">
      <c r="A10" s="27"/>
      <c r="B10" s="27"/>
      <c r="C10" s="27"/>
      <c r="D10" s="7"/>
      <c r="E10" s="7"/>
      <c r="F10" s="7"/>
      <c r="G10" s="7"/>
      <c r="H10" s="7"/>
      <c r="I10" s="7"/>
      <c r="J10" s="7"/>
      <c r="K10" s="7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3.5" customHeight="1" x14ac:dyDescent="0.3">
      <c r="A11" s="27" t="str">
        <f>'02 Acts - Data'!B20</f>
        <v xml:space="preserve">Представитель ЮРЭС АО "ОЭК" </v>
      </c>
      <c r="B11" s="28"/>
      <c r="D11" s="27"/>
      <c r="E11" s="27"/>
      <c r="F11" s="27"/>
      <c r="G11" s="27"/>
      <c r="H11" s="27"/>
      <c r="I11" s="27"/>
      <c r="J11" s="27"/>
      <c r="K11" s="27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6" ht="13.5" customHeight="1" x14ac:dyDescent="0.3">
      <c r="A12" s="7" t="str">
        <f>'02 Acts - Data'!B21</f>
        <v>Начальник участка ООО «Резонанс-Энерго» Борков Е.А</v>
      </c>
      <c r="B12" s="28"/>
      <c r="D12" s="7"/>
      <c r="E12" s="7"/>
      <c r="F12" s="7"/>
      <c r="G12" s="7"/>
      <c r="H12" s="7"/>
      <c r="I12" s="7"/>
      <c r="J12" s="7"/>
      <c r="K12" s="7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spans="1:26" ht="13.5" customHeight="1" x14ac:dyDescent="0.3">
      <c r="A13" s="6"/>
      <c r="B13" s="6"/>
      <c r="C13" s="27"/>
      <c r="D13" s="6"/>
      <c r="E13" s="6"/>
      <c r="F13" s="6"/>
      <c r="G13" s="6"/>
      <c r="H13" s="6"/>
      <c r="I13" s="6"/>
      <c r="J13" s="6"/>
      <c r="K13" s="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spans="1:26" ht="14.25" customHeight="1" x14ac:dyDescent="0.3">
      <c r="A14" s="27" t="s">
        <v>92</v>
      </c>
      <c r="B14" s="5"/>
      <c r="C14" s="27"/>
      <c r="D14" s="5"/>
      <c r="E14" s="29"/>
      <c r="F14" s="29"/>
      <c r="G14" s="29"/>
      <c r="H14" s="29"/>
      <c r="I14" s="29"/>
      <c r="J14" s="29"/>
      <c r="K14" s="27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spans="1:26" ht="14.25" customHeight="1" x14ac:dyDescent="0.3">
      <c r="A15" s="74" t="str">
        <f>'02 Acts - Data'!B6</f>
        <v>ГНБ № 10-1С</v>
      </c>
      <c r="B15" s="74"/>
      <c r="C15" s="74"/>
      <c r="D15" s="73" t="s">
        <v>93</v>
      </c>
      <c r="E15" s="73"/>
      <c r="F15" s="30" t="str">
        <f>'02 Acts - Data'!B5</f>
        <v>По адресу: г. Москва, ул. Кантемировская, д.60</v>
      </c>
      <c r="G15" s="30"/>
      <c r="H15" s="30"/>
      <c r="I15" s="30"/>
      <c r="J15" s="31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6" ht="13.5" customHeight="1" x14ac:dyDescent="0.3">
      <c r="A16" s="7"/>
      <c r="B16" s="6"/>
      <c r="C16" s="27"/>
      <c r="D16" s="6"/>
      <c r="E16" s="6"/>
      <c r="F16" s="6"/>
      <c r="G16" s="6"/>
      <c r="H16" s="6"/>
      <c r="I16" s="6"/>
      <c r="J16" s="6"/>
      <c r="K16" s="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ht="13.5" customHeight="1" x14ac:dyDescent="0.3">
      <c r="A17" s="32" t="s">
        <v>94</v>
      </c>
      <c r="B17" s="5"/>
      <c r="C17" s="27"/>
      <c r="D17" s="5"/>
      <c r="E17" s="5"/>
      <c r="F17" s="5"/>
      <c r="G17" s="5"/>
      <c r="H17" s="5"/>
      <c r="I17" s="5"/>
      <c r="J17" s="5"/>
      <c r="K17" s="5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ht="14.25" customHeight="1" x14ac:dyDescent="0.3">
      <c r="A18" s="32" t="s">
        <v>95</v>
      </c>
      <c r="B18" s="32" t="s">
        <v>96</v>
      </c>
      <c r="C18" s="27"/>
      <c r="D18" s="1" t="str">
        <f>'02 Acts - Data'!A31</f>
        <v>ГНБ № 10-1С</v>
      </c>
      <c r="E18" s="1" t="s">
        <v>97</v>
      </c>
      <c r="F18" s="4">
        <f>'02 Acts - Data'!B31</f>
        <v>40.81</v>
      </c>
      <c r="G18" s="1" t="s">
        <v>98</v>
      </c>
      <c r="H18" s="4">
        <f>'02 Acts - Data'!C31</f>
        <v>42.96</v>
      </c>
      <c r="I18" s="34"/>
      <c r="J18" s="5"/>
      <c r="K18" s="5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spans="1:26" ht="13.5" customHeight="1" x14ac:dyDescent="0.3">
      <c r="A19" s="32">
        <v>2</v>
      </c>
      <c r="B19" s="32" t="s">
        <v>99</v>
      </c>
      <c r="C19" s="27"/>
      <c r="D19" s="1" t="str">
        <f>'02 Acts - Data'!A31</f>
        <v>ГНБ № 10-1С</v>
      </c>
      <c r="E19" s="81">
        <f>'02 Acts - Data'!D31</f>
        <v>2</v>
      </c>
      <c r="F19" s="81"/>
      <c r="G19" s="1"/>
      <c r="H19" s="73"/>
      <c r="I19" s="73"/>
      <c r="J19" s="5"/>
      <c r="K19" s="5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spans="1:26" ht="13.5" customHeight="1" x14ac:dyDescent="0.3">
      <c r="A20" s="32">
        <v>3</v>
      </c>
      <c r="B20" s="32" t="s">
        <v>100</v>
      </c>
      <c r="C20" s="27"/>
      <c r="D20" s="1" t="str">
        <f>'02 Acts - Data'!A31</f>
        <v>ГНБ № 10-1С</v>
      </c>
      <c r="E20" s="81">
        <f>'02 Acts - Data'!E31</f>
        <v>85.92</v>
      </c>
      <c r="F20" s="81"/>
      <c r="G20" s="1"/>
      <c r="H20" s="82"/>
      <c r="I20" s="82"/>
      <c r="J20" s="5"/>
      <c r="K20" s="5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spans="1:26" ht="29.25" customHeight="1" x14ac:dyDescent="0.3">
      <c r="A21" s="32">
        <v>4</v>
      </c>
      <c r="B21" s="32" t="s">
        <v>101</v>
      </c>
      <c r="D21" s="83" t="str">
        <f>'02 Acts - Data'!B26</f>
        <v>Труба "ПЭ тип "С" 110*6,3 техническая (L012) (паспорт  качества от 23.08.2021г.)</v>
      </c>
      <c r="E21" s="83"/>
      <c r="F21" s="83"/>
      <c r="G21" s="83"/>
      <c r="H21" s="83"/>
      <c r="I21" s="83"/>
      <c r="J21" s="5"/>
      <c r="K21" s="5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spans="1:26" ht="13.5" customHeight="1" x14ac:dyDescent="0.3">
      <c r="A22" s="32">
        <v>5</v>
      </c>
      <c r="B22" s="32" t="s">
        <v>102</v>
      </c>
      <c r="C22" s="27"/>
      <c r="D22" s="5"/>
      <c r="E22" s="5"/>
      <c r="F22" s="5"/>
      <c r="G22" s="5"/>
      <c r="H22" s="5"/>
      <c r="I22" s="5"/>
      <c r="J22" s="5"/>
      <c r="K22" s="5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spans="1:26" ht="13.5" customHeight="1" x14ac:dyDescent="0.3">
      <c r="A23" s="32">
        <v>6</v>
      </c>
      <c r="B23" s="32" t="s">
        <v>103</v>
      </c>
      <c r="C23" s="27"/>
      <c r="D23" s="5"/>
      <c r="E23" s="5"/>
      <c r="F23" s="5"/>
      <c r="G23" s="5"/>
      <c r="H23" s="5"/>
      <c r="I23" s="5"/>
      <c r="J23" s="5"/>
      <c r="K23" s="5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spans="1:26" ht="13.5" customHeight="1" x14ac:dyDescent="0.3">
      <c r="A24" s="32">
        <v>7</v>
      </c>
      <c r="B24" s="32" t="s">
        <v>104</v>
      </c>
      <c r="C24" s="27"/>
      <c r="D24" s="5"/>
      <c r="E24" s="5"/>
      <c r="F24" s="5"/>
      <c r="G24" s="5"/>
      <c r="H24" s="5"/>
      <c r="I24" s="5"/>
      <c r="J24" s="5"/>
      <c r="K24" s="5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spans="1:26" ht="13.5" customHeight="1" x14ac:dyDescent="0.3">
      <c r="A25" s="32"/>
      <c r="B25" s="32"/>
      <c r="C25" s="27"/>
      <c r="D25" s="5"/>
      <c r="E25" s="5"/>
      <c r="F25" s="5"/>
      <c r="G25" s="5"/>
      <c r="H25" s="5"/>
      <c r="I25" s="5"/>
      <c r="J25" s="5"/>
      <c r="K25" s="5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spans="1:26" ht="14.25" customHeight="1" x14ac:dyDescent="0.3">
      <c r="A26" s="32" t="s">
        <v>105</v>
      </c>
      <c r="B26" s="32"/>
      <c r="C26" s="27"/>
      <c r="D26" s="5"/>
      <c r="E26" s="74" t="str">
        <f>'02 Acts - Data'!B6</f>
        <v>ГНБ № 10-1С</v>
      </c>
      <c r="F26" s="74"/>
      <c r="G26" s="74"/>
      <c r="H26" s="32" t="s">
        <v>106</v>
      </c>
      <c r="I26" s="5"/>
      <c r="J26" s="5"/>
      <c r="K26" s="5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spans="1:26" ht="14.25" customHeight="1" x14ac:dyDescent="0.3">
      <c r="A27" s="32" t="s">
        <v>107</v>
      </c>
      <c r="B27" s="32"/>
      <c r="C27" s="27"/>
      <c r="D27" s="5"/>
      <c r="E27" s="34"/>
      <c r="F27" s="34"/>
      <c r="G27" s="34"/>
      <c r="H27" s="32"/>
      <c r="I27" s="5"/>
      <c r="J27" s="5"/>
      <c r="K27" s="5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spans="1:26" ht="14.25" customHeight="1" x14ac:dyDescent="0.3">
      <c r="A28" s="32"/>
      <c r="B28" s="32"/>
      <c r="C28" s="27"/>
      <c r="D28" s="5"/>
      <c r="E28" s="34"/>
      <c r="F28" s="34"/>
      <c r="G28" s="34"/>
      <c r="H28" s="32"/>
      <c r="I28" s="5"/>
      <c r="J28" s="5"/>
      <c r="K28" s="5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spans="1:26" ht="13.5" customHeight="1" x14ac:dyDescent="0.3">
      <c r="A29" s="32"/>
      <c r="B29" s="32"/>
      <c r="C29" s="27"/>
      <c r="D29" s="5"/>
      <c r="E29" s="5"/>
      <c r="F29" s="5"/>
      <c r="G29" s="5"/>
      <c r="H29" s="5"/>
      <c r="I29" s="5"/>
      <c r="J29" s="5"/>
      <c r="K29" s="5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2" spans="1:26" ht="13.5" customHeight="1" x14ac:dyDescent="0.3">
      <c r="A32" s="7" t="str">
        <f>'02 Acts - Data'!C20</f>
        <v>Представитель Южного РЭС АО "ОЭК" ____________________</v>
      </c>
      <c r="C32" s="7"/>
      <c r="D32" s="7"/>
      <c r="E32" s="7"/>
      <c r="F32" s="7"/>
      <c r="G32" s="7"/>
      <c r="H32" s="7"/>
      <c r="I32" s="7"/>
    </row>
    <row r="33" spans="1:9" ht="13.5" customHeight="1" x14ac:dyDescent="0.3">
      <c r="A33" s="7"/>
      <c r="C33" s="7"/>
      <c r="D33" s="7"/>
      <c r="E33" s="7"/>
      <c r="F33" s="7"/>
      <c r="G33" s="7"/>
      <c r="H33" s="7"/>
      <c r="I33" s="7"/>
    </row>
    <row r="34" spans="1:9" ht="13.5" customHeight="1" x14ac:dyDescent="0.3">
      <c r="A34" s="7" t="str">
        <f>'02 Acts - Data'!C21</f>
        <v>Начальник участка ООО «Резонанс-Энерго» ______________________Борков Е.А</v>
      </c>
      <c r="C34" s="7"/>
      <c r="D34" s="7"/>
      <c r="E34" s="7"/>
      <c r="F34" s="7"/>
      <c r="G34" s="7"/>
      <c r="H34" s="7"/>
      <c r="I34" s="7"/>
    </row>
    <row r="35" spans="1:9" ht="13.5" customHeight="1" x14ac:dyDescent="0.3">
      <c r="A35" s="7"/>
      <c r="C35" s="7"/>
      <c r="D35" s="7"/>
      <c r="E35" s="7"/>
      <c r="F35" s="7"/>
      <c r="G35" s="7"/>
      <c r="H35" s="7"/>
      <c r="I35" s="7"/>
    </row>
    <row r="36" spans="1:9" ht="13.5" customHeight="1" x14ac:dyDescent="0.3">
      <c r="A36" s="7"/>
      <c r="C36" s="7"/>
      <c r="D36" s="7"/>
      <c r="E36" s="7"/>
      <c r="F36" s="7"/>
      <c r="G36" s="7"/>
      <c r="H36" s="7"/>
      <c r="I36" s="7"/>
    </row>
    <row r="39" spans="1:9" ht="15.75" customHeight="1" x14ac:dyDescent="0.3"/>
    <row r="40" spans="1:9" ht="15.75" customHeight="1" x14ac:dyDescent="0.3"/>
    <row r="41" spans="1:9" ht="15.75" customHeight="1" x14ac:dyDescent="0.3"/>
    <row r="42" spans="1:9" ht="15.75" customHeight="1" x14ac:dyDescent="0.3"/>
    <row r="43" spans="1:9" ht="15.75" customHeight="1" x14ac:dyDescent="0.3"/>
    <row r="44" spans="1:9" ht="15.75" customHeight="1" x14ac:dyDescent="0.3"/>
    <row r="45" spans="1:9" ht="15.75" customHeight="1" x14ac:dyDescent="0.3"/>
    <row r="46" spans="1:9" ht="15.75" customHeight="1" x14ac:dyDescent="0.3"/>
    <row r="47" spans="1:9" ht="15.75" customHeight="1" x14ac:dyDescent="0.3"/>
    <row r="48" spans="1:9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</sheetData>
  <mergeCells count="14">
    <mergeCell ref="C3:K3"/>
    <mergeCell ref="G4:J4"/>
    <mergeCell ref="A5:B5"/>
    <mergeCell ref="G5:K5"/>
    <mergeCell ref="A6:K6"/>
    <mergeCell ref="E20:F20"/>
    <mergeCell ref="H20:I20"/>
    <mergeCell ref="D21:I21"/>
    <mergeCell ref="E26:G26"/>
    <mergeCell ref="A7:K7"/>
    <mergeCell ref="A15:C15"/>
    <mergeCell ref="D15:E15"/>
    <mergeCell ref="E19:F19"/>
    <mergeCell ref="H19:I19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W77"/>
  <sheetViews>
    <sheetView zoomScaleNormal="100" workbookViewId="0"/>
  </sheetViews>
  <sheetFormatPr defaultColWidth="8.6640625" defaultRowHeight="15" customHeight="1" x14ac:dyDescent="0.3"/>
  <cols>
    <col min="1" max="1" width="4.109375" customWidth="1"/>
    <col min="2" max="2" width="13.6640625" customWidth="1"/>
    <col min="3" max="3" width="16.5546875" customWidth="1"/>
    <col min="4" max="4" width="10.88671875" customWidth="1"/>
    <col min="5" max="5" width="6.44140625" customWidth="1"/>
    <col min="6" max="6" width="8.5546875" customWidth="1"/>
    <col min="7" max="7" width="13" customWidth="1"/>
    <col min="8" max="8" width="10.21875" customWidth="1"/>
    <col min="9" max="9" width="9.21875" customWidth="1"/>
    <col min="10" max="10" width="8.44140625" customWidth="1"/>
    <col min="11" max="11" width="9" customWidth="1"/>
    <col min="12" max="12" width="1.44140625" customWidth="1"/>
    <col min="13" max="13" width="9.109375" customWidth="1"/>
  </cols>
  <sheetData>
    <row r="1" spans="1:257" ht="15" customHeight="1" x14ac:dyDescent="0.3">
      <c r="B1" s="35" t="s">
        <v>57</v>
      </c>
      <c r="C1" s="36" t="str">
        <f>'02 Acts - Data'!B14</f>
        <v>ГКУ «УДМС»</v>
      </c>
      <c r="D1" s="36"/>
      <c r="E1" s="36"/>
      <c r="F1" s="36"/>
      <c r="G1" s="37"/>
      <c r="H1" s="36"/>
      <c r="I1" s="36"/>
      <c r="J1" s="36"/>
      <c r="K1" s="36"/>
    </row>
    <row r="2" spans="1:257" ht="15" customHeight="1" x14ac:dyDescent="0.3">
      <c r="B2" s="35" t="s">
        <v>75</v>
      </c>
      <c r="C2" s="36" t="str">
        <f>'02 Acts - Data'!B15</f>
        <v>ООО «Резонанс-Энерго»</v>
      </c>
      <c r="D2" s="36"/>
      <c r="E2" s="36"/>
      <c r="F2" s="36"/>
      <c r="G2" s="37"/>
      <c r="H2" s="36"/>
      <c r="I2" s="36"/>
      <c r="J2" s="36"/>
      <c r="K2" s="36"/>
    </row>
    <row r="3" spans="1:257" ht="45.75" customHeight="1" x14ac:dyDescent="0.3">
      <c r="B3" s="38" t="s">
        <v>59</v>
      </c>
      <c r="C3" s="85" t="str">
        <f>'02 Acts - Data'!B4</f>
        <v>"Строительство улично-дорожной сети с искусственными сооружениями и переустройством инженерных коммуникаций на участке от ул. Маршала Шестопалова до Павелецкого направления Московской железной дороги"</v>
      </c>
      <c r="D3" s="85"/>
      <c r="E3" s="85"/>
      <c r="F3" s="85"/>
      <c r="G3" s="85"/>
      <c r="H3" s="85"/>
      <c r="I3" s="85"/>
      <c r="J3" s="85"/>
      <c r="K3" s="85"/>
    </row>
    <row r="4" spans="1:257" ht="15" customHeight="1" x14ac:dyDescent="0.3">
      <c r="B4" s="38" t="s">
        <v>60</v>
      </c>
      <c r="C4" s="39" t="str">
        <f>'02 Acts - Data'!B11</f>
        <v>03.06.2024 г.</v>
      </c>
      <c r="G4" s="86"/>
      <c r="H4" s="86"/>
      <c r="I4" s="86"/>
      <c r="J4" s="86"/>
      <c r="K4" s="40"/>
    </row>
    <row r="5" spans="1:257" ht="9.75" customHeight="1" x14ac:dyDescent="0.3">
      <c r="A5" s="87"/>
      <c r="B5" s="87"/>
      <c r="G5" s="88"/>
      <c r="H5" s="88"/>
      <c r="I5" s="88"/>
      <c r="J5" s="88"/>
      <c r="K5" s="88"/>
      <c r="O5" s="42"/>
      <c r="P5" s="42"/>
      <c r="Q5" s="42"/>
      <c r="R5" s="42"/>
      <c r="S5" s="42"/>
    </row>
    <row r="6" spans="1:257" ht="15.75" customHeight="1" x14ac:dyDescent="0.3">
      <c r="A6" s="72" t="s">
        <v>61</v>
      </c>
      <c r="B6" s="72"/>
      <c r="C6" s="72"/>
      <c r="D6" s="72"/>
      <c r="E6" s="72"/>
      <c r="F6" s="72"/>
      <c r="G6" s="72"/>
      <c r="H6" s="72"/>
      <c r="I6" s="72"/>
      <c r="J6" s="72"/>
      <c r="K6" s="72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  <c r="CK6" s="27"/>
      <c r="CL6" s="27"/>
      <c r="CM6" s="27"/>
      <c r="CN6" s="27"/>
      <c r="CO6" s="27"/>
      <c r="CP6" s="27"/>
      <c r="CQ6" s="27"/>
      <c r="CR6" s="27"/>
      <c r="CS6" s="27"/>
      <c r="CT6" s="27"/>
      <c r="CU6" s="27"/>
      <c r="CV6" s="27"/>
      <c r="CW6" s="27"/>
      <c r="CX6" s="27"/>
      <c r="CY6" s="27"/>
      <c r="CZ6" s="27"/>
      <c r="DA6" s="27"/>
      <c r="DB6" s="27"/>
      <c r="DC6" s="27"/>
      <c r="DD6" s="27"/>
      <c r="DE6" s="27"/>
      <c r="DF6" s="27"/>
      <c r="DG6" s="27"/>
      <c r="DH6" s="27"/>
      <c r="DI6" s="27"/>
      <c r="DJ6" s="27"/>
      <c r="DK6" s="27"/>
      <c r="DL6" s="27"/>
      <c r="DM6" s="27"/>
      <c r="DN6" s="27"/>
      <c r="DO6" s="27"/>
      <c r="DP6" s="27"/>
      <c r="DQ6" s="27"/>
      <c r="DR6" s="27"/>
      <c r="DS6" s="27"/>
      <c r="DT6" s="27"/>
      <c r="DU6" s="27"/>
      <c r="DV6" s="27"/>
      <c r="DW6" s="27"/>
      <c r="DX6" s="27"/>
      <c r="DY6" s="27"/>
      <c r="DZ6" s="27"/>
      <c r="EA6" s="27"/>
      <c r="EB6" s="27"/>
      <c r="EC6" s="27"/>
      <c r="ED6" s="27"/>
      <c r="EE6" s="27"/>
      <c r="EF6" s="27"/>
      <c r="EG6" s="27"/>
      <c r="EH6" s="27"/>
      <c r="EI6" s="27"/>
      <c r="EJ6" s="27"/>
      <c r="EK6" s="27"/>
      <c r="EL6" s="27"/>
      <c r="EM6" s="27"/>
      <c r="EN6" s="27"/>
      <c r="EO6" s="27"/>
      <c r="EP6" s="27"/>
      <c r="EQ6" s="27"/>
      <c r="ER6" s="27"/>
      <c r="ES6" s="27"/>
      <c r="ET6" s="27"/>
      <c r="EU6" s="27"/>
      <c r="EV6" s="27"/>
      <c r="EW6" s="27"/>
      <c r="EX6" s="27"/>
      <c r="EY6" s="27"/>
      <c r="EZ6" s="27"/>
      <c r="FA6" s="27"/>
      <c r="FB6" s="27"/>
      <c r="FC6" s="27"/>
      <c r="FD6" s="27"/>
      <c r="FE6" s="27"/>
      <c r="FF6" s="27"/>
      <c r="FG6" s="27"/>
      <c r="FH6" s="27"/>
      <c r="FI6" s="27"/>
      <c r="FJ6" s="27"/>
      <c r="FK6" s="27"/>
      <c r="FL6" s="27"/>
      <c r="FM6" s="27"/>
      <c r="FN6" s="27"/>
      <c r="FO6" s="27"/>
      <c r="FP6" s="27"/>
      <c r="FQ6" s="27"/>
      <c r="FR6" s="27"/>
      <c r="FS6" s="27"/>
      <c r="FT6" s="27"/>
      <c r="FU6" s="27"/>
      <c r="FV6" s="27"/>
      <c r="FW6" s="27"/>
      <c r="FX6" s="27"/>
      <c r="FY6" s="27"/>
      <c r="FZ6" s="27"/>
      <c r="GA6" s="27"/>
      <c r="GB6" s="27"/>
      <c r="GC6" s="27"/>
      <c r="GD6" s="27"/>
      <c r="GE6" s="27"/>
      <c r="GF6" s="27"/>
      <c r="GG6" s="27"/>
      <c r="GH6" s="27"/>
      <c r="GI6" s="27"/>
      <c r="GJ6" s="27"/>
      <c r="GK6" s="27"/>
      <c r="GL6" s="27"/>
      <c r="GM6" s="27"/>
      <c r="GN6" s="27"/>
      <c r="GO6" s="27"/>
      <c r="GP6" s="27"/>
      <c r="GQ6" s="27"/>
      <c r="GR6" s="27"/>
      <c r="GS6" s="27"/>
      <c r="GT6" s="27"/>
      <c r="GU6" s="27"/>
      <c r="GV6" s="27"/>
      <c r="GW6" s="27"/>
      <c r="GX6" s="27"/>
      <c r="GY6" s="27"/>
      <c r="GZ6" s="27"/>
      <c r="HA6" s="27"/>
      <c r="HB6" s="27"/>
      <c r="HC6" s="27"/>
      <c r="HD6" s="27"/>
      <c r="HE6" s="27"/>
      <c r="HF6" s="27"/>
      <c r="HG6" s="27"/>
      <c r="HH6" s="27"/>
      <c r="HI6" s="27"/>
      <c r="HJ6" s="27"/>
      <c r="HK6" s="27"/>
      <c r="HL6" s="27"/>
      <c r="HM6" s="27"/>
      <c r="HN6" s="27"/>
      <c r="HO6" s="27"/>
      <c r="HP6" s="27"/>
      <c r="HQ6" s="27"/>
      <c r="HR6" s="27"/>
      <c r="HS6" s="27"/>
      <c r="HT6" s="27"/>
      <c r="HU6" s="27"/>
      <c r="HV6" s="27"/>
      <c r="HW6" s="27"/>
      <c r="HX6" s="27"/>
      <c r="HY6" s="27"/>
      <c r="HZ6" s="27"/>
      <c r="IA6" s="27"/>
      <c r="IB6" s="27"/>
      <c r="IC6" s="27"/>
      <c r="ID6" s="27"/>
      <c r="IE6" s="27"/>
      <c r="IF6" s="27"/>
      <c r="IG6" s="27"/>
      <c r="IH6" s="27"/>
      <c r="II6" s="27"/>
      <c r="IJ6" s="27"/>
      <c r="IK6" s="27"/>
      <c r="IL6" s="27"/>
      <c r="IM6" s="27"/>
      <c r="IN6" s="27"/>
      <c r="IO6" s="27"/>
      <c r="IP6" s="27"/>
      <c r="IQ6" s="27"/>
      <c r="IR6" s="27"/>
      <c r="IS6" s="27"/>
      <c r="IT6" s="27"/>
      <c r="IU6" s="27"/>
      <c r="IV6" s="27"/>
      <c r="IW6" s="27"/>
    </row>
    <row r="7" spans="1:257" ht="15.75" customHeight="1" x14ac:dyDescent="0.3">
      <c r="A7" s="72" t="s">
        <v>108</v>
      </c>
      <c r="B7" s="72"/>
      <c r="C7" s="72"/>
      <c r="D7" s="72"/>
      <c r="E7" s="72"/>
      <c r="F7" s="72"/>
      <c r="G7" s="72"/>
      <c r="H7" s="72"/>
      <c r="I7" s="72"/>
      <c r="J7" s="72"/>
      <c r="K7" s="72"/>
      <c r="L7" s="27"/>
      <c r="M7" s="27"/>
      <c r="N7" s="27"/>
      <c r="O7" s="27"/>
      <c r="P7" s="27"/>
      <c r="Q7" s="26"/>
      <c r="R7" s="26"/>
      <c r="S7" s="26"/>
      <c r="T7" s="26"/>
      <c r="U7" s="26"/>
      <c r="V7" s="26"/>
      <c r="W7" s="26"/>
      <c r="X7" s="26"/>
      <c r="Y7" s="26"/>
      <c r="Z7" s="26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  <c r="CK7" s="27"/>
      <c r="CL7" s="27"/>
      <c r="CM7" s="27"/>
      <c r="CN7" s="27"/>
      <c r="CO7" s="27"/>
      <c r="CP7" s="27"/>
      <c r="CQ7" s="27"/>
      <c r="CR7" s="27"/>
      <c r="CS7" s="27"/>
      <c r="CT7" s="27"/>
      <c r="CU7" s="27"/>
      <c r="CV7" s="27"/>
      <c r="CW7" s="27"/>
      <c r="CX7" s="27"/>
      <c r="CY7" s="27"/>
      <c r="CZ7" s="27"/>
      <c r="DA7" s="27"/>
      <c r="DB7" s="27"/>
      <c r="DC7" s="27"/>
      <c r="DD7" s="27"/>
      <c r="DE7" s="27"/>
      <c r="DF7" s="27"/>
      <c r="DG7" s="27"/>
      <c r="DH7" s="27"/>
      <c r="DI7" s="27"/>
      <c r="DJ7" s="27"/>
      <c r="DK7" s="27"/>
      <c r="DL7" s="27"/>
      <c r="DM7" s="27"/>
      <c r="DN7" s="27"/>
      <c r="DO7" s="27"/>
      <c r="DP7" s="27"/>
      <c r="DQ7" s="27"/>
      <c r="DR7" s="27"/>
      <c r="DS7" s="27"/>
      <c r="DT7" s="27"/>
      <c r="DU7" s="27"/>
      <c r="DV7" s="27"/>
      <c r="DW7" s="27"/>
      <c r="DX7" s="27"/>
      <c r="DY7" s="27"/>
      <c r="DZ7" s="27"/>
      <c r="EA7" s="27"/>
      <c r="EB7" s="27"/>
      <c r="EC7" s="27"/>
      <c r="ED7" s="27"/>
      <c r="EE7" s="27"/>
      <c r="EF7" s="27"/>
      <c r="EG7" s="27"/>
      <c r="EH7" s="27"/>
      <c r="EI7" s="27"/>
      <c r="EJ7" s="27"/>
      <c r="EK7" s="27"/>
      <c r="EL7" s="27"/>
      <c r="EM7" s="27"/>
      <c r="EN7" s="27"/>
      <c r="EO7" s="27"/>
      <c r="EP7" s="27"/>
      <c r="EQ7" s="27"/>
      <c r="ER7" s="27"/>
      <c r="ES7" s="27"/>
      <c r="ET7" s="27"/>
      <c r="EU7" s="27"/>
      <c r="EV7" s="27"/>
      <c r="EW7" s="27"/>
      <c r="EX7" s="27"/>
      <c r="EY7" s="27"/>
      <c r="EZ7" s="27"/>
      <c r="FA7" s="27"/>
      <c r="FB7" s="27"/>
      <c r="FC7" s="27"/>
      <c r="FD7" s="27"/>
      <c r="FE7" s="27"/>
      <c r="FF7" s="27"/>
      <c r="FG7" s="27"/>
      <c r="FH7" s="27"/>
      <c r="FI7" s="27"/>
      <c r="FJ7" s="27"/>
      <c r="FK7" s="27"/>
      <c r="FL7" s="27"/>
      <c r="FM7" s="27"/>
      <c r="FN7" s="27"/>
      <c r="FO7" s="27"/>
      <c r="FP7" s="27"/>
      <c r="FQ7" s="27"/>
      <c r="FR7" s="27"/>
      <c r="FS7" s="27"/>
      <c r="FT7" s="27"/>
      <c r="FU7" s="27"/>
      <c r="FV7" s="27"/>
      <c r="FW7" s="27"/>
      <c r="FX7" s="27"/>
      <c r="FY7" s="27"/>
      <c r="FZ7" s="27"/>
      <c r="GA7" s="27"/>
      <c r="GB7" s="27"/>
      <c r="GC7" s="27"/>
      <c r="GD7" s="27"/>
      <c r="GE7" s="27"/>
      <c r="GF7" s="27"/>
      <c r="GG7" s="27"/>
      <c r="GH7" s="27"/>
      <c r="GI7" s="27"/>
      <c r="GJ7" s="27"/>
      <c r="GK7" s="27"/>
      <c r="GL7" s="27"/>
      <c r="GM7" s="27"/>
      <c r="GN7" s="27"/>
      <c r="GO7" s="27"/>
      <c r="GP7" s="27"/>
      <c r="GQ7" s="27"/>
      <c r="GR7" s="27"/>
      <c r="GS7" s="27"/>
      <c r="GT7" s="27"/>
      <c r="GU7" s="27"/>
      <c r="GV7" s="27"/>
      <c r="GW7" s="27"/>
      <c r="GX7" s="27"/>
      <c r="GY7" s="27"/>
      <c r="GZ7" s="27"/>
      <c r="HA7" s="27"/>
      <c r="HB7" s="27"/>
      <c r="HC7" s="27"/>
      <c r="HD7" s="27"/>
      <c r="HE7" s="27"/>
      <c r="HF7" s="27"/>
      <c r="HG7" s="27"/>
      <c r="HH7" s="27"/>
      <c r="HI7" s="27"/>
      <c r="HJ7" s="27"/>
      <c r="HK7" s="27"/>
      <c r="HL7" s="27"/>
      <c r="HM7" s="27"/>
      <c r="HN7" s="27"/>
      <c r="HO7" s="27"/>
      <c r="HP7" s="27"/>
      <c r="HQ7" s="27"/>
      <c r="HR7" s="27"/>
      <c r="HS7" s="27"/>
      <c r="HT7" s="27"/>
      <c r="HU7" s="27"/>
      <c r="HV7" s="27"/>
      <c r="HW7" s="27"/>
      <c r="HX7" s="27"/>
      <c r="HY7" s="27"/>
      <c r="HZ7" s="27"/>
      <c r="IA7" s="27"/>
      <c r="IB7" s="27"/>
      <c r="IC7" s="27"/>
      <c r="ID7" s="27"/>
      <c r="IE7" s="27"/>
      <c r="IF7" s="27"/>
      <c r="IG7" s="27"/>
      <c r="IH7" s="27"/>
      <c r="II7" s="27"/>
      <c r="IJ7" s="27"/>
      <c r="IK7" s="27"/>
      <c r="IL7" s="27"/>
      <c r="IM7" s="27"/>
      <c r="IN7" s="27"/>
      <c r="IO7" s="27"/>
      <c r="IP7" s="27"/>
      <c r="IQ7" s="27"/>
      <c r="IR7" s="27"/>
      <c r="IS7" s="27"/>
      <c r="IT7" s="27"/>
      <c r="IU7" s="27"/>
      <c r="IV7" s="27"/>
      <c r="IW7" s="27"/>
    </row>
    <row r="8" spans="1:257" ht="11.25" customHeight="1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27"/>
      <c r="M8" s="27"/>
      <c r="N8" s="27"/>
      <c r="O8" s="27"/>
      <c r="P8" s="27"/>
      <c r="Q8" s="26"/>
      <c r="R8" s="26"/>
      <c r="S8" s="26"/>
      <c r="T8" s="26"/>
      <c r="U8" s="26"/>
      <c r="V8" s="26"/>
      <c r="W8" s="26"/>
      <c r="X8" s="26"/>
      <c r="Y8" s="26"/>
      <c r="Z8" s="26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  <c r="CK8" s="27"/>
      <c r="CL8" s="27"/>
      <c r="CM8" s="27"/>
      <c r="CN8" s="27"/>
      <c r="CO8" s="27"/>
      <c r="CP8" s="27"/>
      <c r="CQ8" s="27"/>
      <c r="CR8" s="27"/>
      <c r="CS8" s="27"/>
      <c r="CT8" s="27"/>
      <c r="CU8" s="27"/>
      <c r="CV8" s="27"/>
      <c r="CW8" s="27"/>
      <c r="CX8" s="27"/>
      <c r="CY8" s="27"/>
      <c r="CZ8" s="27"/>
      <c r="DA8" s="27"/>
      <c r="DB8" s="27"/>
      <c r="DC8" s="27"/>
      <c r="DD8" s="27"/>
      <c r="DE8" s="27"/>
      <c r="DF8" s="27"/>
      <c r="DG8" s="27"/>
      <c r="DH8" s="27"/>
      <c r="DI8" s="27"/>
      <c r="DJ8" s="27"/>
      <c r="DK8" s="27"/>
      <c r="DL8" s="27"/>
      <c r="DM8" s="27"/>
      <c r="DN8" s="27"/>
      <c r="DO8" s="27"/>
      <c r="DP8" s="27"/>
      <c r="DQ8" s="27"/>
      <c r="DR8" s="27"/>
      <c r="DS8" s="27"/>
      <c r="DT8" s="27"/>
      <c r="DU8" s="27"/>
      <c r="DV8" s="27"/>
      <c r="DW8" s="27"/>
      <c r="DX8" s="27"/>
      <c r="DY8" s="27"/>
      <c r="DZ8" s="27"/>
      <c r="EA8" s="27"/>
      <c r="EB8" s="27"/>
      <c r="EC8" s="27"/>
      <c r="ED8" s="27"/>
      <c r="EE8" s="27"/>
      <c r="EF8" s="27"/>
      <c r="EG8" s="27"/>
      <c r="EH8" s="27"/>
      <c r="EI8" s="27"/>
      <c r="EJ8" s="27"/>
      <c r="EK8" s="27"/>
      <c r="EL8" s="27"/>
      <c r="EM8" s="27"/>
      <c r="EN8" s="27"/>
      <c r="EO8" s="27"/>
      <c r="EP8" s="27"/>
      <c r="EQ8" s="27"/>
      <c r="ER8" s="27"/>
      <c r="ES8" s="27"/>
      <c r="ET8" s="27"/>
      <c r="EU8" s="27"/>
      <c r="EV8" s="27"/>
      <c r="EW8" s="27"/>
      <c r="EX8" s="27"/>
      <c r="EY8" s="27"/>
      <c r="EZ8" s="27"/>
      <c r="FA8" s="27"/>
      <c r="FB8" s="27"/>
      <c r="FC8" s="27"/>
      <c r="FD8" s="27"/>
      <c r="FE8" s="27"/>
      <c r="FF8" s="27"/>
      <c r="FG8" s="27"/>
      <c r="FH8" s="27"/>
      <c r="FI8" s="27"/>
      <c r="FJ8" s="27"/>
      <c r="FK8" s="27"/>
      <c r="FL8" s="27"/>
      <c r="FM8" s="27"/>
      <c r="FN8" s="27"/>
      <c r="FO8" s="27"/>
      <c r="FP8" s="27"/>
      <c r="FQ8" s="27"/>
      <c r="FR8" s="27"/>
      <c r="FS8" s="27"/>
      <c r="FT8" s="27"/>
      <c r="FU8" s="27"/>
      <c r="FV8" s="27"/>
      <c r="FW8" s="27"/>
      <c r="FX8" s="27"/>
      <c r="FY8" s="27"/>
      <c r="FZ8" s="27"/>
      <c r="GA8" s="27"/>
      <c r="GB8" s="27"/>
      <c r="GC8" s="27"/>
      <c r="GD8" s="27"/>
      <c r="GE8" s="27"/>
      <c r="GF8" s="27"/>
      <c r="GG8" s="27"/>
      <c r="GH8" s="27"/>
      <c r="GI8" s="27"/>
      <c r="GJ8" s="27"/>
      <c r="GK8" s="27"/>
      <c r="GL8" s="27"/>
      <c r="GM8" s="27"/>
      <c r="GN8" s="27"/>
      <c r="GO8" s="27"/>
      <c r="GP8" s="27"/>
      <c r="GQ8" s="27"/>
      <c r="GR8" s="27"/>
      <c r="GS8" s="27"/>
      <c r="GT8" s="27"/>
      <c r="GU8" s="27"/>
      <c r="GV8" s="27"/>
      <c r="GW8" s="27"/>
      <c r="GX8" s="27"/>
      <c r="GY8" s="27"/>
      <c r="GZ8" s="27"/>
      <c r="HA8" s="27"/>
      <c r="HB8" s="27"/>
      <c r="HC8" s="27"/>
      <c r="HD8" s="27"/>
      <c r="HE8" s="27"/>
      <c r="HF8" s="27"/>
      <c r="HG8" s="27"/>
      <c r="HH8" s="27"/>
      <c r="HI8" s="27"/>
      <c r="HJ8" s="27"/>
      <c r="HK8" s="27"/>
      <c r="HL8" s="27"/>
      <c r="HM8" s="27"/>
      <c r="HN8" s="27"/>
      <c r="HO8" s="27"/>
      <c r="HP8" s="27"/>
      <c r="HQ8" s="27"/>
      <c r="HR8" s="27"/>
      <c r="HS8" s="27"/>
      <c r="HT8" s="27"/>
      <c r="HU8" s="27"/>
      <c r="HV8" s="27"/>
      <c r="HW8" s="27"/>
      <c r="HX8" s="27"/>
      <c r="HY8" s="27"/>
      <c r="HZ8" s="27"/>
      <c r="IA8" s="27"/>
      <c r="IB8" s="27"/>
      <c r="IC8" s="27"/>
      <c r="ID8" s="27"/>
      <c r="IE8" s="27"/>
      <c r="IF8" s="27"/>
      <c r="IG8" s="27"/>
      <c r="IH8" s="27"/>
      <c r="II8" s="27"/>
      <c r="IJ8" s="27"/>
      <c r="IK8" s="27"/>
      <c r="IL8" s="27"/>
      <c r="IM8" s="27"/>
      <c r="IN8" s="27"/>
      <c r="IO8" s="27"/>
      <c r="IP8" s="27"/>
      <c r="IQ8" s="27"/>
      <c r="IR8" s="27"/>
      <c r="IS8" s="27"/>
      <c r="IT8" s="27"/>
      <c r="IU8" s="27"/>
      <c r="IV8" s="27"/>
      <c r="IW8" s="27"/>
    </row>
    <row r="9" spans="1:257" ht="15.75" customHeight="1" x14ac:dyDescent="0.3">
      <c r="A9" s="25" t="s">
        <v>63</v>
      </c>
      <c r="B9" s="25"/>
      <c r="C9" s="25"/>
      <c r="D9" s="6"/>
      <c r="E9" s="6"/>
      <c r="F9" s="6"/>
      <c r="G9" s="6"/>
      <c r="H9" s="6"/>
      <c r="I9" s="6"/>
      <c r="J9" s="6"/>
      <c r="K9" s="6"/>
      <c r="L9" s="27"/>
      <c r="M9" s="27"/>
      <c r="N9" s="27"/>
      <c r="O9" s="27"/>
      <c r="P9" s="27"/>
      <c r="Q9" s="26"/>
      <c r="R9" s="26"/>
      <c r="S9" s="26"/>
      <c r="T9" s="26"/>
      <c r="U9" s="26"/>
      <c r="V9" s="26"/>
      <c r="W9" s="26"/>
      <c r="X9" s="26"/>
      <c r="Y9" s="26"/>
      <c r="Z9" s="26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  <c r="CK9" s="27"/>
      <c r="CL9" s="27"/>
      <c r="CM9" s="27"/>
      <c r="CN9" s="27"/>
      <c r="CO9" s="27"/>
      <c r="CP9" s="27"/>
      <c r="CQ9" s="27"/>
      <c r="CR9" s="27"/>
      <c r="CS9" s="27"/>
      <c r="CT9" s="27"/>
      <c r="CU9" s="27"/>
      <c r="CV9" s="27"/>
      <c r="CW9" s="27"/>
      <c r="CX9" s="27"/>
      <c r="CY9" s="27"/>
      <c r="CZ9" s="27"/>
      <c r="DA9" s="27"/>
      <c r="DB9" s="27"/>
      <c r="DC9" s="27"/>
      <c r="DD9" s="27"/>
      <c r="DE9" s="27"/>
      <c r="DF9" s="27"/>
      <c r="DG9" s="27"/>
      <c r="DH9" s="27"/>
      <c r="DI9" s="27"/>
      <c r="DJ9" s="27"/>
      <c r="DK9" s="27"/>
      <c r="DL9" s="27"/>
      <c r="DM9" s="27"/>
      <c r="DN9" s="27"/>
      <c r="DO9" s="27"/>
      <c r="DP9" s="27"/>
      <c r="DQ9" s="27"/>
      <c r="DR9" s="27"/>
      <c r="DS9" s="27"/>
      <c r="DT9" s="27"/>
      <c r="DU9" s="27"/>
      <c r="DV9" s="27"/>
      <c r="DW9" s="27"/>
      <c r="DX9" s="27"/>
      <c r="DY9" s="27"/>
      <c r="DZ9" s="27"/>
      <c r="EA9" s="27"/>
      <c r="EB9" s="27"/>
      <c r="EC9" s="27"/>
      <c r="ED9" s="27"/>
      <c r="EE9" s="27"/>
      <c r="EF9" s="27"/>
      <c r="EG9" s="27"/>
      <c r="EH9" s="27"/>
      <c r="EI9" s="27"/>
      <c r="EJ9" s="27"/>
      <c r="EK9" s="27"/>
      <c r="EL9" s="27"/>
      <c r="EM9" s="27"/>
      <c r="EN9" s="27"/>
      <c r="EO9" s="27"/>
      <c r="EP9" s="27"/>
      <c r="EQ9" s="27"/>
      <c r="ER9" s="27"/>
      <c r="ES9" s="27"/>
      <c r="ET9" s="27"/>
      <c r="EU9" s="27"/>
      <c r="EV9" s="27"/>
      <c r="EW9" s="27"/>
      <c r="EX9" s="27"/>
      <c r="EY9" s="27"/>
      <c r="EZ9" s="27"/>
      <c r="FA9" s="27"/>
      <c r="FB9" s="27"/>
      <c r="FC9" s="27"/>
      <c r="FD9" s="27"/>
      <c r="FE9" s="27"/>
      <c r="FF9" s="27"/>
      <c r="FG9" s="27"/>
      <c r="FH9" s="27"/>
      <c r="FI9" s="27"/>
      <c r="FJ9" s="27"/>
      <c r="FK9" s="27"/>
      <c r="FL9" s="27"/>
      <c r="FM9" s="27"/>
      <c r="FN9" s="27"/>
      <c r="FO9" s="27"/>
      <c r="FP9" s="27"/>
      <c r="FQ9" s="27"/>
      <c r="FR9" s="27"/>
      <c r="FS9" s="27"/>
      <c r="FT9" s="27"/>
      <c r="FU9" s="27"/>
      <c r="FV9" s="27"/>
      <c r="FW9" s="27"/>
      <c r="FX9" s="27"/>
      <c r="FY9" s="27"/>
      <c r="FZ9" s="27"/>
      <c r="GA9" s="27"/>
      <c r="GB9" s="27"/>
      <c r="GC9" s="27"/>
      <c r="GD9" s="27"/>
      <c r="GE9" s="27"/>
      <c r="GF9" s="27"/>
      <c r="GG9" s="27"/>
      <c r="GH9" s="27"/>
      <c r="GI9" s="27"/>
      <c r="GJ9" s="27"/>
      <c r="GK9" s="27"/>
      <c r="GL9" s="27"/>
      <c r="GM9" s="27"/>
      <c r="GN9" s="27"/>
      <c r="GO9" s="27"/>
      <c r="GP9" s="27"/>
      <c r="GQ9" s="27"/>
      <c r="GR9" s="27"/>
      <c r="GS9" s="27"/>
      <c r="GT9" s="27"/>
      <c r="GU9" s="27"/>
      <c r="GV9" s="27"/>
      <c r="GW9" s="27"/>
      <c r="GX9" s="27"/>
      <c r="GY9" s="27"/>
      <c r="GZ9" s="27"/>
      <c r="HA9" s="27"/>
      <c r="HB9" s="27"/>
      <c r="HC9" s="27"/>
      <c r="HD9" s="27"/>
      <c r="HE9" s="27"/>
      <c r="HF9" s="27"/>
      <c r="HG9" s="27"/>
      <c r="HH9" s="27"/>
      <c r="HI9" s="27"/>
      <c r="HJ9" s="27"/>
      <c r="HK9" s="27"/>
      <c r="HL9" s="27"/>
      <c r="HM9" s="27"/>
      <c r="HN9" s="27"/>
      <c r="HO9" s="27"/>
      <c r="HP9" s="27"/>
      <c r="HQ9" s="27"/>
      <c r="HR9" s="27"/>
      <c r="HS9" s="27"/>
      <c r="HT9" s="27"/>
      <c r="HU9" s="27"/>
      <c r="HV9" s="27"/>
      <c r="HW9" s="27"/>
      <c r="HX9" s="27"/>
      <c r="HY9" s="27"/>
      <c r="HZ9" s="27"/>
      <c r="IA9" s="27"/>
      <c r="IB9" s="27"/>
      <c r="IC9" s="27"/>
      <c r="ID9" s="27"/>
      <c r="IE9" s="27"/>
      <c r="IF9" s="27"/>
      <c r="IG9" s="27"/>
      <c r="IH9" s="27"/>
      <c r="II9" s="27"/>
      <c r="IJ9" s="27"/>
      <c r="IK9" s="27"/>
      <c r="IL9" s="27"/>
      <c r="IM9" s="27"/>
      <c r="IN9" s="27"/>
      <c r="IO9" s="27"/>
      <c r="IP9" s="27"/>
      <c r="IQ9" s="27"/>
      <c r="IR9" s="27"/>
      <c r="IS9" s="27"/>
      <c r="IT9" s="27"/>
      <c r="IU9" s="27"/>
      <c r="IV9" s="27"/>
      <c r="IW9" s="27"/>
    </row>
    <row r="10" spans="1:257" ht="13.5" customHeight="1" x14ac:dyDescent="0.3">
      <c r="A10" s="27"/>
      <c r="B10" s="27"/>
      <c r="C10" s="27"/>
      <c r="D10" s="7"/>
      <c r="E10" s="7"/>
      <c r="F10" s="7"/>
      <c r="G10" s="7"/>
      <c r="H10" s="7"/>
      <c r="I10" s="7"/>
      <c r="J10" s="7"/>
      <c r="K10" s="7"/>
      <c r="L10" s="27"/>
      <c r="M10" s="27"/>
      <c r="N10" s="27"/>
      <c r="O10" s="27"/>
      <c r="P10" s="27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  <c r="CK10" s="27"/>
      <c r="CL10" s="27"/>
      <c r="CM10" s="27"/>
      <c r="CN10" s="27"/>
      <c r="CO10" s="27"/>
      <c r="CP10" s="27"/>
      <c r="CQ10" s="27"/>
      <c r="CR10" s="27"/>
      <c r="CS10" s="27"/>
      <c r="CT10" s="27"/>
      <c r="CU10" s="27"/>
      <c r="CV10" s="27"/>
      <c r="CW10" s="27"/>
      <c r="CX10" s="27"/>
      <c r="CY10" s="27"/>
      <c r="CZ10" s="27"/>
      <c r="DA10" s="27"/>
      <c r="DB10" s="27"/>
      <c r="DC10" s="27"/>
      <c r="DD10" s="27"/>
      <c r="DE10" s="27"/>
      <c r="DF10" s="27"/>
      <c r="DG10" s="27"/>
      <c r="DH10" s="27"/>
      <c r="DI10" s="27"/>
      <c r="DJ10" s="27"/>
      <c r="DK10" s="27"/>
      <c r="DL10" s="27"/>
      <c r="DM10" s="27"/>
      <c r="DN10" s="27"/>
      <c r="DO10" s="27"/>
      <c r="DP10" s="27"/>
      <c r="DQ10" s="27"/>
      <c r="DR10" s="27"/>
      <c r="DS10" s="27"/>
      <c r="DT10" s="27"/>
      <c r="DU10" s="27"/>
      <c r="DV10" s="27"/>
      <c r="DW10" s="27"/>
      <c r="DX10" s="27"/>
      <c r="DY10" s="27"/>
      <c r="DZ10" s="27"/>
      <c r="EA10" s="27"/>
      <c r="EB10" s="27"/>
      <c r="EC10" s="27"/>
      <c r="ED10" s="27"/>
      <c r="EE10" s="27"/>
      <c r="EF10" s="27"/>
      <c r="EG10" s="27"/>
      <c r="EH10" s="27"/>
      <c r="EI10" s="27"/>
      <c r="EJ10" s="27"/>
      <c r="EK10" s="27"/>
      <c r="EL10" s="27"/>
      <c r="EM10" s="27"/>
      <c r="EN10" s="27"/>
      <c r="EO10" s="27"/>
      <c r="EP10" s="27"/>
      <c r="EQ10" s="27"/>
      <c r="ER10" s="27"/>
      <c r="ES10" s="27"/>
      <c r="ET10" s="27"/>
      <c r="EU10" s="27"/>
      <c r="EV10" s="27"/>
      <c r="EW10" s="27"/>
      <c r="EX10" s="27"/>
      <c r="EY10" s="27"/>
      <c r="EZ10" s="27"/>
      <c r="FA10" s="27"/>
      <c r="FB10" s="27"/>
      <c r="FC10" s="27"/>
      <c r="FD10" s="27"/>
      <c r="FE10" s="27"/>
      <c r="FF10" s="27"/>
      <c r="FG10" s="27"/>
      <c r="FH10" s="27"/>
      <c r="FI10" s="27"/>
      <c r="FJ10" s="27"/>
      <c r="FK10" s="27"/>
      <c r="FL10" s="27"/>
      <c r="FM10" s="27"/>
      <c r="FN10" s="27"/>
      <c r="FO10" s="27"/>
      <c r="FP10" s="27"/>
      <c r="FQ10" s="27"/>
      <c r="FR10" s="27"/>
      <c r="FS10" s="27"/>
      <c r="FT10" s="27"/>
      <c r="FU10" s="27"/>
      <c r="FV10" s="27"/>
      <c r="FW10" s="27"/>
      <c r="FX10" s="27"/>
      <c r="FY10" s="27"/>
      <c r="FZ10" s="27"/>
      <c r="GA10" s="27"/>
      <c r="GB10" s="27"/>
      <c r="GC10" s="27"/>
      <c r="GD10" s="27"/>
      <c r="GE10" s="27"/>
      <c r="GF10" s="27"/>
      <c r="GG10" s="27"/>
      <c r="GH10" s="27"/>
      <c r="GI10" s="27"/>
      <c r="GJ10" s="27"/>
      <c r="GK10" s="27"/>
      <c r="GL10" s="27"/>
      <c r="GM10" s="27"/>
      <c r="GN10" s="27"/>
      <c r="GO10" s="27"/>
      <c r="GP10" s="27"/>
      <c r="GQ10" s="27"/>
      <c r="GR10" s="27"/>
      <c r="GS10" s="27"/>
      <c r="GT10" s="27"/>
      <c r="GU10" s="27"/>
      <c r="GV10" s="27"/>
      <c r="GW10" s="27"/>
      <c r="GX10" s="27"/>
      <c r="GY10" s="27"/>
      <c r="GZ10" s="27"/>
      <c r="HA10" s="27"/>
      <c r="HB10" s="27"/>
      <c r="HC10" s="27"/>
      <c r="HD10" s="27"/>
      <c r="HE10" s="27"/>
      <c r="HF10" s="27"/>
      <c r="HG10" s="27"/>
      <c r="HH10" s="27"/>
      <c r="HI10" s="27"/>
      <c r="HJ10" s="27"/>
      <c r="HK10" s="27"/>
      <c r="HL10" s="27"/>
      <c r="HM10" s="27"/>
      <c r="HN10" s="27"/>
      <c r="HO10" s="27"/>
      <c r="HP10" s="27"/>
      <c r="HQ10" s="27"/>
      <c r="HR10" s="27"/>
      <c r="HS10" s="27"/>
      <c r="HT10" s="27"/>
      <c r="HU10" s="27"/>
      <c r="HV10" s="27"/>
      <c r="HW10" s="27"/>
      <c r="HX10" s="27"/>
      <c r="HY10" s="27"/>
      <c r="HZ10" s="27"/>
      <c r="IA10" s="27"/>
      <c r="IB10" s="27"/>
      <c r="IC10" s="27"/>
      <c r="ID10" s="27"/>
      <c r="IE10" s="27"/>
      <c r="IF10" s="27"/>
      <c r="IG10" s="27"/>
      <c r="IH10" s="27"/>
      <c r="II10" s="27"/>
      <c r="IJ10" s="27"/>
      <c r="IK10" s="27"/>
      <c r="IL10" s="27"/>
      <c r="IM10" s="27"/>
      <c r="IN10" s="27"/>
      <c r="IO10" s="27"/>
      <c r="IP10" s="27"/>
      <c r="IQ10" s="27"/>
      <c r="IR10" s="27"/>
      <c r="IS10" s="27"/>
      <c r="IT10" s="27"/>
      <c r="IU10" s="27"/>
      <c r="IV10" s="27"/>
      <c r="IW10" s="27"/>
    </row>
    <row r="11" spans="1:257" ht="13.5" customHeight="1" x14ac:dyDescent="0.3">
      <c r="A11" s="27" t="str">
        <f>'02 Acts - Data'!B20</f>
        <v xml:space="preserve">Представитель ЮРЭС АО "ОЭК" </v>
      </c>
      <c r="B11" s="28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  <c r="CK11" s="27"/>
      <c r="CL11" s="27"/>
      <c r="CM11" s="27"/>
      <c r="CN11" s="27"/>
      <c r="CO11" s="27"/>
      <c r="CP11" s="27"/>
      <c r="CQ11" s="27"/>
      <c r="CR11" s="27"/>
      <c r="CS11" s="27"/>
      <c r="CT11" s="27"/>
      <c r="CU11" s="27"/>
      <c r="CV11" s="27"/>
      <c r="CW11" s="27"/>
      <c r="CX11" s="27"/>
      <c r="CY11" s="27"/>
      <c r="CZ11" s="27"/>
      <c r="DA11" s="27"/>
      <c r="DB11" s="27"/>
      <c r="DC11" s="27"/>
      <c r="DD11" s="27"/>
      <c r="DE11" s="27"/>
      <c r="DF11" s="27"/>
      <c r="DG11" s="27"/>
      <c r="DH11" s="27"/>
      <c r="DI11" s="27"/>
      <c r="DJ11" s="27"/>
      <c r="DK11" s="27"/>
      <c r="DL11" s="27"/>
      <c r="DM11" s="27"/>
      <c r="DN11" s="27"/>
      <c r="DO11" s="27"/>
      <c r="DP11" s="27"/>
      <c r="DQ11" s="27"/>
      <c r="DR11" s="27"/>
      <c r="DS11" s="27"/>
      <c r="DT11" s="27"/>
      <c r="DU11" s="27"/>
      <c r="DV11" s="27"/>
      <c r="DW11" s="27"/>
      <c r="DX11" s="27"/>
      <c r="DY11" s="27"/>
      <c r="DZ11" s="27"/>
      <c r="EA11" s="27"/>
      <c r="EB11" s="27"/>
      <c r="EC11" s="27"/>
      <c r="ED11" s="27"/>
      <c r="EE11" s="27"/>
      <c r="EF11" s="27"/>
      <c r="EG11" s="27"/>
      <c r="EH11" s="27"/>
      <c r="EI11" s="27"/>
      <c r="EJ11" s="27"/>
      <c r="EK11" s="27"/>
      <c r="EL11" s="27"/>
      <c r="EM11" s="27"/>
      <c r="EN11" s="27"/>
      <c r="EO11" s="27"/>
      <c r="EP11" s="27"/>
      <c r="EQ11" s="27"/>
      <c r="ER11" s="27"/>
      <c r="ES11" s="27"/>
      <c r="ET11" s="27"/>
      <c r="EU11" s="27"/>
      <c r="EV11" s="27"/>
      <c r="EW11" s="27"/>
      <c r="EX11" s="27"/>
      <c r="EY11" s="27"/>
      <c r="EZ11" s="27"/>
      <c r="FA11" s="27"/>
      <c r="FB11" s="27"/>
      <c r="FC11" s="27"/>
      <c r="FD11" s="27"/>
      <c r="FE11" s="27"/>
      <c r="FF11" s="27"/>
      <c r="FG11" s="27"/>
      <c r="FH11" s="27"/>
      <c r="FI11" s="27"/>
      <c r="FJ11" s="27"/>
      <c r="FK11" s="27"/>
      <c r="FL11" s="27"/>
      <c r="FM11" s="27"/>
      <c r="FN11" s="27"/>
      <c r="FO11" s="27"/>
      <c r="FP11" s="27"/>
      <c r="FQ11" s="27"/>
      <c r="FR11" s="27"/>
      <c r="FS11" s="27"/>
      <c r="FT11" s="27"/>
      <c r="FU11" s="27"/>
      <c r="FV11" s="27"/>
      <c r="FW11" s="27"/>
      <c r="FX11" s="27"/>
      <c r="FY11" s="27"/>
      <c r="FZ11" s="27"/>
      <c r="GA11" s="27"/>
      <c r="GB11" s="27"/>
      <c r="GC11" s="27"/>
      <c r="GD11" s="27"/>
      <c r="GE11" s="27"/>
      <c r="GF11" s="27"/>
      <c r="GG11" s="27"/>
      <c r="GH11" s="27"/>
      <c r="GI11" s="27"/>
      <c r="GJ11" s="27"/>
      <c r="GK11" s="27"/>
      <c r="GL11" s="27"/>
      <c r="GM11" s="27"/>
      <c r="GN11" s="27"/>
      <c r="GO11" s="27"/>
      <c r="GP11" s="27"/>
      <c r="GQ11" s="27"/>
      <c r="GR11" s="27"/>
      <c r="GS11" s="27"/>
      <c r="GT11" s="27"/>
      <c r="GU11" s="27"/>
      <c r="GV11" s="27"/>
      <c r="GW11" s="27"/>
      <c r="GX11" s="27"/>
      <c r="GY11" s="27"/>
      <c r="GZ11" s="27"/>
      <c r="HA11" s="27"/>
      <c r="HB11" s="27"/>
      <c r="HC11" s="27"/>
      <c r="HD11" s="27"/>
      <c r="HE11" s="27"/>
      <c r="HF11" s="27"/>
      <c r="HG11" s="27"/>
      <c r="HH11" s="27"/>
      <c r="HI11" s="27"/>
      <c r="HJ11" s="27"/>
      <c r="HK11" s="27"/>
      <c r="HL11" s="27"/>
      <c r="HM11" s="27"/>
      <c r="HN11" s="27"/>
      <c r="HO11" s="27"/>
      <c r="HP11" s="27"/>
      <c r="HQ11" s="27"/>
      <c r="HR11" s="27"/>
      <c r="HS11" s="27"/>
      <c r="HT11" s="27"/>
      <c r="HU11" s="27"/>
      <c r="HV11" s="27"/>
      <c r="HW11" s="27"/>
      <c r="HX11" s="27"/>
      <c r="HY11" s="27"/>
      <c r="HZ11" s="27"/>
      <c r="IA11" s="27"/>
      <c r="IB11" s="27"/>
      <c r="IC11" s="27"/>
      <c r="ID11" s="27"/>
      <c r="IE11" s="27"/>
      <c r="IF11" s="27"/>
      <c r="IG11" s="27"/>
      <c r="IH11" s="27"/>
      <c r="II11" s="27"/>
      <c r="IJ11" s="27"/>
      <c r="IK11" s="27"/>
      <c r="IL11" s="27"/>
      <c r="IM11" s="27"/>
      <c r="IN11" s="27"/>
      <c r="IO11" s="27"/>
      <c r="IP11" s="27"/>
      <c r="IQ11" s="27"/>
      <c r="IR11" s="27"/>
      <c r="IS11" s="27"/>
      <c r="IT11" s="27"/>
      <c r="IU11" s="27"/>
      <c r="IV11" s="27"/>
      <c r="IW11" s="27"/>
    </row>
    <row r="12" spans="1:257" ht="13.5" customHeight="1" x14ac:dyDescent="0.3">
      <c r="A12" s="7" t="str">
        <f>'02 Acts - Data'!B21</f>
        <v>Начальник участка ООО «Резонанс-Энерго» Борков Е.А</v>
      </c>
      <c r="B12" s="28"/>
      <c r="C12" s="27"/>
      <c r="D12" s="7"/>
      <c r="E12" s="7"/>
      <c r="F12" s="7"/>
      <c r="G12" s="7"/>
      <c r="H12" s="7"/>
      <c r="I12" s="7"/>
      <c r="J12" s="7"/>
      <c r="K12" s="7"/>
      <c r="L12" s="27"/>
      <c r="M12" s="27"/>
      <c r="N12" s="27"/>
      <c r="O12" s="27"/>
      <c r="P12" s="27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7"/>
      <c r="DJ12" s="27"/>
      <c r="DK12" s="27"/>
      <c r="DL12" s="27"/>
      <c r="DM12" s="27"/>
      <c r="DN12" s="27"/>
      <c r="DO12" s="27"/>
      <c r="DP12" s="27"/>
      <c r="DQ12" s="27"/>
      <c r="DR12" s="27"/>
      <c r="DS12" s="27"/>
      <c r="DT12" s="27"/>
      <c r="DU12" s="27"/>
      <c r="DV12" s="27"/>
      <c r="DW12" s="27"/>
      <c r="DX12" s="27"/>
      <c r="DY12" s="27"/>
      <c r="DZ12" s="27"/>
      <c r="EA12" s="27"/>
      <c r="EB12" s="27"/>
      <c r="EC12" s="27"/>
      <c r="ED12" s="27"/>
      <c r="EE12" s="27"/>
      <c r="EF12" s="27"/>
      <c r="EG12" s="27"/>
      <c r="EH12" s="27"/>
      <c r="EI12" s="27"/>
      <c r="EJ12" s="27"/>
      <c r="EK12" s="27"/>
      <c r="EL12" s="27"/>
      <c r="EM12" s="27"/>
      <c r="EN12" s="27"/>
      <c r="EO12" s="27"/>
      <c r="EP12" s="27"/>
      <c r="EQ12" s="27"/>
      <c r="ER12" s="27"/>
      <c r="ES12" s="27"/>
      <c r="ET12" s="27"/>
      <c r="EU12" s="27"/>
      <c r="EV12" s="27"/>
      <c r="EW12" s="27"/>
      <c r="EX12" s="27"/>
      <c r="EY12" s="27"/>
      <c r="EZ12" s="27"/>
      <c r="FA12" s="27"/>
      <c r="FB12" s="27"/>
      <c r="FC12" s="27"/>
      <c r="FD12" s="27"/>
      <c r="FE12" s="27"/>
      <c r="FF12" s="27"/>
      <c r="FG12" s="27"/>
      <c r="FH12" s="27"/>
      <c r="FI12" s="27"/>
      <c r="FJ12" s="27"/>
      <c r="FK12" s="27"/>
      <c r="FL12" s="27"/>
      <c r="FM12" s="27"/>
      <c r="FN12" s="27"/>
      <c r="FO12" s="27"/>
      <c r="FP12" s="27"/>
      <c r="FQ12" s="27"/>
      <c r="FR12" s="27"/>
      <c r="FS12" s="27"/>
      <c r="FT12" s="27"/>
      <c r="FU12" s="27"/>
      <c r="FV12" s="27"/>
      <c r="FW12" s="27"/>
      <c r="FX12" s="27"/>
      <c r="FY12" s="27"/>
      <c r="FZ12" s="27"/>
      <c r="GA12" s="27"/>
      <c r="GB12" s="27"/>
      <c r="GC12" s="27"/>
      <c r="GD12" s="27"/>
      <c r="GE12" s="27"/>
      <c r="GF12" s="27"/>
      <c r="GG12" s="27"/>
      <c r="GH12" s="27"/>
      <c r="GI12" s="27"/>
      <c r="GJ12" s="27"/>
      <c r="GK12" s="27"/>
      <c r="GL12" s="27"/>
      <c r="GM12" s="27"/>
      <c r="GN12" s="27"/>
      <c r="GO12" s="27"/>
      <c r="GP12" s="27"/>
      <c r="GQ12" s="27"/>
      <c r="GR12" s="27"/>
      <c r="GS12" s="27"/>
      <c r="GT12" s="27"/>
      <c r="GU12" s="27"/>
      <c r="GV12" s="27"/>
      <c r="GW12" s="27"/>
      <c r="GX12" s="27"/>
      <c r="GY12" s="27"/>
      <c r="GZ12" s="27"/>
      <c r="HA12" s="27"/>
      <c r="HB12" s="27"/>
      <c r="HC12" s="27"/>
      <c r="HD12" s="27"/>
      <c r="HE12" s="27"/>
      <c r="HF12" s="27"/>
      <c r="HG12" s="27"/>
      <c r="HH12" s="27"/>
      <c r="HI12" s="27"/>
      <c r="HJ12" s="27"/>
      <c r="HK12" s="27"/>
      <c r="HL12" s="27"/>
      <c r="HM12" s="27"/>
      <c r="HN12" s="27"/>
      <c r="HO12" s="27"/>
      <c r="HP12" s="27"/>
      <c r="HQ12" s="27"/>
      <c r="HR12" s="27"/>
      <c r="HS12" s="27"/>
      <c r="HT12" s="27"/>
      <c r="HU12" s="27"/>
      <c r="HV12" s="27"/>
      <c r="HW12" s="27"/>
      <c r="HX12" s="27"/>
      <c r="HY12" s="27"/>
      <c r="HZ12" s="27"/>
      <c r="IA12" s="27"/>
      <c r="IB12" s="27"/>
      <c r="IC12" s="27"/>
      <c r="ID12" s="27"/>
      <c r="IE12" s="27"/>
      <c r="IF12" s="27"/>
      <c r="IG12" s="27"/>
      <c r="IH12" s="27"/>
      <c r="II12" s="27"/>
      <c r="IJ12" s="27"/>
      <c r="IK12" s="27"/>
      <c r="IL12" s="27"/>
      <c r="IM12" s="27"/>
      <c r="IN12" s="27"/>
      <c r="IO12" s="27"/>
      <c r="IP12" s="27"/>
      <c r="IQ12" s="27"/>
      <c r="IR12" s="27"/>
      <c r="IS12" s="27"/>
      <c r="IT12" s="27"/>
      <c r="IU12" s="27"/>
      <c r="IV12" s="27"/>
      <c r="IW12" s="27"/>
    </row>
    <row r="13" spans="1:257" ht="15.75" customHeight="1" x14ac:dyDescent="0.3">
      <c r="A13" s="6"/>
      <c r="B13" s="6"/>
      <c r="C13" s="27"/>
      <c r="D13" s="6"/>
      <c r="E13" s="6"/>
      <c r="F13" s="6"/>
      <c r="G13" s="6"/>
      <c r="H13" s="6"/>
      <c r="I13" s="6"/>
      <c r="J13" s="6"/>
      <c r="K13" s="6"/>
      <c r="L13" s="27"/>
      <c r="M13" s="27"/>
      <c r="N13" s="27"/>
      <c r="O13" s="27"/>
      <c r="P13" s="27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  <c r="CK13" s="27"/>
      <c r="CL13" s="27"/>
      <c r="CM13" s="27"/>
      <c r="CN13" s="27"/>
      <c r="CO13" s="27"/>
      <c r="CP13" s="27"/>
      <c r="CQ13" s="27"/>
      <c r="CR13" s="27"/>
      <c r="CS13" s="27"/>
      <c r="CT13" s="27"/>
      <c r="CU13" s="27"/>
      <c r="CV13" s="27"/>
      <c r="CW13" s="27"/>
      <c r="CX13" s="27"/>
      <c r="CY13" s="27"/>
      <c r="CZ13" s="27"/>
      <c r="DA13" s="27"/>
      <c r="DB13" s="27"/>
      <c r="DC13" s="27"/>
      <c r="DD13" s="27"/>
      <c r="DE13" s="27"/>
      <c r="DF13" s="27"/>
      <c r="DG13" s="27"/>
      <c r="DH13" s="27"/>
      <c r="DI13" s="27"/>
      <c r="DJ13" s="27"/>
      <c r="DK13" s="27"/>
      <c r="DL13" s="27"/>
      <c r="DM13" s="27"/>
      <c r="DN13" s="27"/>
      <c r="DO13" s="27"/>
      <c r="DP13" s="27"/>
      <c r="DQ13" s="27"/>
      <c r="DR13" s="27"/>
      <c r="DS13" s="27"/>
      <c r="DT13" s="27"/>
      <c r="DU13" s="27"/>
      <c r="DV13" s="27"/>
      <c r="DW13" s="27"/>
      <c r="DX13" s="27"/>
      <c r="DY13" s="27"/>
      <c r="DZ13" s="27"/>
      <c r="EA13" s="27"/>
      <c r="EB13" s="27"/>
      <c r="EC13" s="27"/>
      <c r="ED13" s="27"/>
      <c r="EE13" s="27"/>
      <c r="EF13" s="27"/>
      <c r="EG13" s="27"/>
      <c r="EH13" s="27"/>
      <c r="EI13" s="27"/>
      <c r="EJ13" s="27"/>
      <c r="EK13" s="27"/>
      <c r="EL13" s="27"/>
      <c r="EM13" s="27"/>
      <c r="EN13" s="27"/>
      <c r="EO13" s="27"/>
      <c r="EP13" s="27"/>
      <c r="EQ13" s="27"/>
      <c r="ER13" s="27"/>
      <c r="ES13" s="27"/>
      <c r="ET13" s="27"/>
      <c r="EU13" s="27"/>
      <c r="EV13" s="27"/>
      <c r="EW13" s="27"/>
      <c r="EX13" s="27"/>
      <c r="EY13" s="27"/>
      <c r="EZ13" s="27"/>
      <c r="FA13" s="27"/>
      <c r="FB13" s="27"/>
      <c r="FC13" s="27"/>
      <c r="FD13" s="27"/>
      <c r="FE13" s="27"/>
      <c r="FF13" s="27"/>
      <c r="FG13" s="27"/>
      <c r="FH13" s="27"/>
      <c r="FI13" s="27"/>
      <c r="FJ13" s="27"/>
      <c r="FK13" s="27"/>
      <c r="FL13" s="27"/>
      <c r="FM13" s="27"/>
      <c r="FN13" s="27"/>
      <c r="FO13" s="27"/>
      <c r="FP13" s="27"/>
      <c r="FQ13" s="27"/>
      <c r="FR13" s="27"/>
      <c r="FS13" s="27"/>
      <c r="FT13" s="27"/>
      <c r="FU13" s="27"/>
      <c r="FV13" s="27"/>
      <c r="FW13" s="27"/>
      <c r="FX13" s="27"/>
      <c r="FY13" s="27"/>
      <c r="FZ13" s="27"/>
      <c r="GA13" s="27"/>
      <c r="GB13" s="27"/>
      <c r="GC13" s="27"/>
      <c r="GD13" s="27"/>
      <c r="GE13" s="27"/>
      <c r="GF13" s="27"/>
      <c r="GG13" s="27"/>
      <c r="GH13" s="27"/>
      <c r="GI13" s="27"/>
      <c r="GJ13" s="27"/>
      <c r="GK13" s="27"/>
      <c r="GL13" s="27"/>
      <c r="GM13" s="27"/>
      <c r="GN13" s="27"/>
      <c r="GO13" s="27"/>
      <c r="GP13" s="27"/>
      <c r="GQ13" s="27"/>
      <c r="GR13" s="27"/>
      <c r="GS13" s="27"/>
      <c r="GT13" s="27"/>
      <c r="GU13" s="27"/>
      <c r="GV13" s="27"/>
      <c r="GW13" s="27"/>
      <c r="GX13" s="27"/>
      <c r="GY13" s="27"/>
      <c r="GZ13" s="27"/>
      <c r="HA13" s="27"/>
      <c r="HB13" s="27"/>
      <c r="HC13" s="27"/>
      <c r="HD13" s="27"/>
      <c r="HE13" s="27"/>
      <c r="HF13" s="27"/>
      <c r="HG13" s="27"/>
      <c r="HH13" s="27"/>
      <c r="HI13" s="27"/>
      <c r="HJ13" s="27"/>
      <c r="HK13" s="27"/>
      <c r="HL13" s="27"/>
      <c r="HM13" s="27"/>
      <c r="HN13" s="27"/>
      <c r="HO13" s="27"/>
      <c r="HP13" s="27"/>
      <c r="HQ13" s="27"/>
      <c r="HR13" s="27"/>
      <c r="HS13" s="27"/>
      <c r="HT13" s="27"/>
      <c r="HU13" s="27"/>
      <c r="HV13" s="27"/>
      <c r="HW13" s="27"/>
      <c r="HX13" s="27"/>
      <c r="HY13" s="27"/>
      <c r="HZ13" s="27"/>
      <c r="IA13" s="27"/>
      <c r="IB13" s="27"/>
      <c r="IC13" s="27"/>
      <c r="ID13" s="27"/>
      <c r="IE13" s="27"/>
      <c r="IF13" s="27"/>
      <c r="IG13" s="27"/>
      <c r="IH13" s="27"/>
      <c r="II13" s="27"/>
      <c r="IJ13" s="27"/>
      <c r="IK13" s="27"/>
      <c r="IL13" s="27"/>
      <c r="IM13" s="27"/>
      <c r="IN13" s="27"/>
      <c r="IO13" s="27"/>
      <c r="IP13" s="27"/>
      <c r="IQ13" s="27"/>
      <c r="IR13" s="27"/>
      <c r="IS13" s="27"/>
      <c r="IT13" s="27"/>
      <c r="IU13" s="27"/>
      <c r="IV13" s="27"/>
      <c r="IW13" s="27"/>
    </row>
    <row r="14" spans="1:257" ht="15.75" customHeight="1" x14ac:dyDescent="0.3">
      <c r="A14" s="27" t="s">
        <v>77</v>
      </c>
      <c r="B14" s="5"/>
      <c r="C14" s="27"/>
      <c r="D14" s="5"/>
      <c r="E14" s="74" t="str">
        <f>'02 Acts - Data'!B10</f>
        <v>ООО «Резонанс-Энерго»</v>
      </c>
      <c r="F14" s="74"/>
      <c r="G14" s="74"/>
      <c r="H14" s="29"/>
      <c r="I14" s="29"/>
      <c r="J14" s="29"/>
      <c r="K14" s="27"/>
      <c r="L14" s="27"/>
      <c r="M14" s="27"/>
      <c r="N14" s="27"/>
      <c r="O14" s="27"/>
      <c r="P14" s="27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  <c r="CK14" s="27"/>
      <c r="CL14" s="27"/>
      <c r="CM14" s="27"/>
      <c r="CN14" s="27"/>
      <c r="CO14" s="27"/>
      <c r="CP14" s="27"/>
      <c r="CQ14" s="27"/>
      <c r="CR14" s="27"/>
      <c r="CS14" s="27"/>
      <c r="CT14" s="27"/>
      <c r="CU14" s="27"/>
      <c r="CV14" s="27"/>
      <c r="CW14" s="27"/>
      <c r="CX14" s="27"/>
      <c r="CY14" s="27"/>
      <c r="CZ14" s="27"/>
      <c r="DA14" s="27"/>
      <c r="DB14" s="27"/>
      <c r="DC14" s="27"/>
      <c r="DD14" s="27"/>
      <c r="DE14" s="27"/>
      <c r="DF14" s="27"/>
      <c r="DG14" s="27"/>
      <c r="DH14" s="27"/>
      <c r="DI14" s="27"/>
      <c r="DJ14" s="27"/>
      <c r="DK14" s="27"/>
      <c r="DL14" s="27"/>
      <c r="DM14" s="27"/>
      <c r="DN14" s="27"/>
      <c r="DO14" s="27"/>
      <c r="DP14" s="27"/>
      <c r="DQ14" s="27"/>
      <c r="DR14" s="27"/>
      <c r="DS14" s="27"/>
      <c r="DT14" s="27"/>
      <c r="DU14" s="27"/>
      <c r="DV14" s="27"/>
      <c r="DW14" s="27"/>
      <c r="DX14" s="27"/>
      <c r="DY14" s="27"/>
      <c r="DZ14" s="27"/>
      <c r="EA14" s="27"/>
      <c r="EB14" s="27"/>
      <c r="EC14" s="27"/>
      <c r="ED14" s="27"/>
      <c r="EE14" s="27"/>
      <c r="EF14" s="27"/>
      <c r="EG14" s="27"/>
      <c r="EH14" s="27"/>
      <c r="EI14" s="27"/>
      <c r="EJ14" s="27"/>
      <c r="EK14" s="27"/>
      <c r="EL14" s="27"/>
      <c r="EM14" s="27"/>
      <c r="EN14" s="27"/>
      <c r="EO14" s="27"/>
      <c r="EP14" s="27"/>
      <c r="EQ14" s="27"/>
      <c r="ER14" s="27"/>
      <c r="ES14" s="27"/>
      <c r="ET14" s="27"/>
      <c r="EU14" s="27"/>
      <c r="EV14" s="27"/>
      <c r="EW14" s="27"/>
      <c r="EX14" s="27"/>
      <c r="EY14" s="27"/>
      <c r="EZ14" s="27"/>
      <c r="FA14" s="27"/>
      <c r="FB14" s="27"/>
      <c r="FC14" s="27"/>
      <c r="FD14" s="27"/>
      <c r="FE14" s="27"/>
      <c r="FF14" s="27"/>
      <c r="FG14" s="27"/>
      <c r="FH14" s="27"/>
      <c r="FI14" s="27"/>
      <c r="FJ14" s="27"/>
      <c r="FK14" s="27"/>
      <c r="FL14" s="27"/>
      <c r="FM14" s="27"/>
      <c r="FN14" s="27"/>
      <c r="FO14" s="27"/>
      <c r="FP14" s="27"/>
      <c r="FQ14" s="27"/>
      <c r="FR14" s="27"/>
      <c r="FS14" s="27"/>
      <c r="FT14" s="27"/>
      <c r="FU14" s="27"/>
      <c r="FV14" s="27"/>
      <c r="FW14" s="27"/>
      <c r="FX14" s="27"/>
      <c r="FY14" s="27"/>
      <c r="FZ14" s="27"/>
      <c r="GA14" s="27"/>
      <c r="GB14" s="27"/>
      <c r="GC14" s="27"/>
      <c r="GD14" s="27"/>
      <c r="GE14" s="27"/>
      <c r="GF14" s="27"/>
      <c r="GG14" s="27"/>
      <c r="GH14" s="27"/>
      <c r="GI14" s="27"/>
      <c r="GJ14" s="27"/>
      <c r="GK14" s="27"/>
      <c r="GL14" s="27"/>
      <c r="GM14" s="27"/>
      <c r="GN14" s="27"/>
      <c r="GO14" s="27"/>
      <c r="GP14" s="27"/>
      <c r="GQ14" s="27"/>
      <c r="GR14" s="27"/>
      <c r="GS14" s="27"/>
      <c r="GT14" s="27"/>
      <c r="GU14" s="27"/>
      <c r="GV14" s="27"/>
      <c r="GW14" s="27"/>
      <c r="GX14" s="27"/>
      <c r="GY14" s="27"/>
      <c r="GZ14" s="27"/>
      <c r="HA14" s="27"/>
      <c r="HB14" s="27"/>
      <c r="HC14" s="27"/>
      <c r="HD14" s="27"/>
      <c r="HE14" s="27"/>
      <c r="HF14" s="27"/>
      <c r="HG14" s="27"/>
      <c r="HH14" s="27"/>
      <c r="HI14" s="27"/>
      <c r="HJ14" s="27"/>
      <c r="HK14" s="27"/>
      <c r="HL14" s="27"/>
      <c r="HM14" s="27"/>
      <c r="HN14" s="27"/>
      <c r="HO14" s="27"/>
      <c r="HP14" s="27"/>
      <c r="HQ14" s="27"/>
      <c r="HR14" s="27"/>
      <c r="HS14" s="27"/>
      <c r="HT14" s="27"/>
      <c r="HU14" s="27"/>
      <c r="HV14" s="27"/>
      <c r="HW14" s="27"/>
      <c r="HX14" s="27"/>
      <c r="HY14" s="27"/>
      <c r="HZ14" s="27"/>
      <c r="IA14" s="27"/>
      <c r="IB14" s="27"/>
      <c r="IC14" s="27"/>
      <c r="ID14" s="27"/>
      <c r="IE14" s="27"/>
      <c r="IF14" s="27"/>
      <c r="IG14" s="27"/>
      <c r="IH14" s="27"/>
      <c r="II14" s="27"/>
      <c r="IJ14" s="27"/>
      <c r="IK14" s="27"/>
      <c r="IL14" s="27"/>
      <c r="IM14" s="27"/>
      <c r="IN14" s="27"/>
      <c r="IO14" s="27"/>
      <c r="IP14" s="27"/>
      <c r="IQ14" s="27"/>
      <c r="IR14" s="27"/>
      <c r="IS14" s="27"/>
      <c r="IT14" s="27"/>
      <c r="IU14" s="27"/>
      <c r="IV14" s="27"/>
      <c r="IW14" s="27"/>
    </row>
    <row r="15" spans="1:257" ht="15.75" customHeight="1" x14ac:dyDescent="0.3">
      <c r="A15" s="27" t="s">
        <v>109</v>
      </c>
      <c r="B15" s="29"/>
      <c r="C15" s="29"/>
      <c r="D15" s="27"/>
      <c r="E15" s="43" t="str">
        <f>'02 Acts - Data'!B6</f>
        <v>ГНБ № 10-1С</v>
      </c>
      <c r="F15" s="43"/>
      <c r="G15" s="43"/>
      <c r="H15" s="29"/>
      <c r="I15" s="29"/>
      <c r="J15" s="27"/>
      <c r="K15" s="27"/>
      <c r="L15" s="27"/>
      <c r="M15" s="27"/>
      <c r="N15" s="27"/>
      <c r="O15" s="27"/>
      <c r="P15" s="27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  <c r="CL15" s="27"/>
      <c r="CM15" s="27"/>
      <c r="CN15" s="27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7"/>
      <c r="CZ15" s="27"/>
      <c r="DA15" s="27"/>
      <c r="DB15" s="27"/>
      <c r="DC15" s="27"/>
      <c r="DD15" s="27"/>
      <c r="DE15" s="27"/>
      <c r="DF15" s="27"/>
      <c r="DG15" s="27"/>
      <c r="DH15" s="27"/>
      <c r="DI15" s="27"/>
      <c r="DJ15" s="27"/>
      <c r="DK15" s="27"/>
      <c r="DL15" s="27"/>
      <c r="DM15" s="27"/>
      <c r="DN15" s="27"/>
      <c r="DO15" s="27"/>
      <c r="DP15" s="27"/>
      <c r="DQ15" s="27"/>
      <c r="DR15" s="27"/>
      <c r="DS15" s="27"/>
      <c r="DT15" s="27"/>
      <c r="DU15" s="27"/>
      <c r="DV15" s="27"/>
      <c r="DW15" s="27"/>
      <c r="DX15" s="27"/>
      <c r="DY15" s="27"/>
      <c r="DZ15" s="27"/>
      <c r="EA15" s="27"/>
      <c r="EB15" s="27"/>
      <c r="EC15" s="27"/>
      <c r="ED15" s="27"/>
      <c r="EE15" s="27"/>
      <c r="EF15" s="27"/>
      <c r="EG15" s="27"/>
      <c r="EH15" s="27"/>
      <c r="EI15" s="27"/>
      <c r="EJ15" s="27"/>
      <c r="EK15" s="27"/>
      <c r="EL15" s="27"/>
      <c r="EM15" s="27"/>
      <c r="EN15" s="27"/>
      <c r="EO15" s="27"/>
      <c r="EP15" s="27"/>
      <c r="EQ15" s="27"/>
      <c r="ER15" s="27"/>
      <c r="ES15" s="27"/>
      <c r="ET15" s="27"/>
      <c r="EU15" s="27"/>
      <c r="EV15" s="27"/>
      <c r="EW15" s="27"/>
      <c r="EX15" s="27"/>
      <c r="EY15" s="27"/>
      <c r="EZ15" s="27"/>
      <c r="FA15" s="27"/>
      <c r="FB15" s="27"/>
      <c r="FC15" s="27"/>
      <c r="FD15" s="27"/>
      <c r="FE15" s="27"/>
      <c r="FF15" s="27"/>
      <c r="FG15" s="27"/>
      <c r="FH15" s="27"/>
      <c r="FI15" s="27"/>
      <c r="FJ15" s="27"/>
      <c r="FK15" s="27"/>
      <c r="FL15" s="27"/>
      <c r="FM15" s="27"/>
      <c r="FN15" s="27"/>
      <c r="FO15" s="27"/>
      <c r="FP15" s="27"/>
      <c r="FQ15" s="27"/>
      <c r="FR15" s="27"/>
      <c r="FS15" s="27"/>
      <c r="FT15" s="27"/>
      <c r="FU15" s="27"/>
      <c r="FV15" s="27"/>
      <c r="FW15" s="27"/>
      <c r="FX15" s="27"/>
      <c r="FY15" s="27"/>
      <c r="FZ15" s="27"/>
      <c r="GA15" s="27"/>
      <c r="GB15" s="27"/>
      <c r="GC15" s="27"/>
      <c r="GD15" s="27"/>
      <c r="GE15" s="27"/>
      <c r="GF15" s="27"/>
      <c r="GG15" s="27"/>
      <c r="GH15" s="27"/>
      <c r="GI15" s="27"/>
      <c r="GJ15" s="27"/>
      <c r="GK15" s="27"/>
      <c r="GL15" s="27"/>
      <c r="GM15" s="27"/>
      <c r="GN15" s="27"/>
      <c r="GO15" s="27"/>
      <c r="GP15" s="27"/>
      <c r="GQ15" s="27"/>
      <c r="GR15" s="27"/>
      <c r="GS15" s="27"/>
      <c r="GT15" s="27"/>
      <c r="GU15" s="27"/>
      <c r="GV15" s="27"/>
      <c r="GW15" s="27"/>
      <c r="GX15" s="27"/>
      <c r="GY15" s="27"/>
      <c r="GZ15" s="27"/>
      <c r="HA15" s="27"/>
      <c r="HB15" s="27"/>
      <c r="HC15" s="27"/>
      <c r="HD15" s="27"/>
      <c r="HE15" s="27"/>
      <c r="HF15" s="27"/>
      <c r="HG15" s="27"/>
      <c r="HH15" s="27"/>
      <c r="HI15" s="27"/>
      <c r="HJ15" s="27"/>
      <c r="HK15" s="27"/>
      <c r="HL15" s="27"/>
      <c r="HM15" s="27"/>
      <c r="HN15" s="27"/>
      <c r="HO15" s="27"/>
      <c r="HP15" s="27"/>
      <c r="HQ15" s="27"/>
      <c r="HR15" s="27"/>
      <c r="HS15" s="27"/>
      <c r="HT15" s="27"/>
      <c r="HU15" s="27"/>
      <c r="HV15" s="27"/>
      <c r="HW15" s="27"/>
      <c r="HX15" s="27"/>
      <c r="HY15" s="27"/>
      <c r="HZ15" s="27"/>
      <c r="IA15" s="27"/>
      <c r="IB15" s="27"/>
      <c r="IC15" s="27"/>
      <c r="ID15" s="27"/>
      <c r="IE15" s="27"/>
      <c r="IF15" s="27"/>
      <c r="IG15" s="27"/>
      <c r="IH15" s="27"/>
      <c r="II15" s="27"/>
      <c r="IJ15" s="27"/>
      <c r="IK15" s="27"/>
      <c r="IL15" s="27"/>
      <c r="IM15" s="27"/>
      <c r="IN15" s="27"/>
      <c r="IO15" s="27"/>
      <c r="IP15" s="27"/>
      <c r="IQ15" s="27"/>
      <c r="IR15" s="27"/>
      <c r="IS15" s="27"/>
      <c r="IT15" s="27"/>
      <c r="IU15" s="27"/>
      <c r="IV15" s="27"/>
      <c r="IW15" s="27"/>
    </row>
    <row r="16" spans="1:257" ht="15.75" customHeight="1" x14ac:dyDescent="0.3">
      <c r="A16" s="27" t="s">
        <v>110</v>
      </c>
      <c r="B16" s="29"/>
      <c r="C16" s="29"/>
      <c r="D16" s="27"/>
      <c r="E16" s="27"/>
      <c r="F16" s="29"/>
      <c r="G16" s="29"/>
      <c r="H16" s="29"/>
      <c r="I16" s="29"/>
      <c r="J16" s="27"/>
      <c r="K16" s="27"/>
      <c r="L16" s="27"/>
      <c r="M16" s="27"/>
      <c r="N16" s="27"/>
      <c r="O16" s="27"/>
      <c r="P16" s="27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  <c r="CK16" s="27"/>
      <c r="CL16" s="27"/>
      <c r="CM16" s="27"/>
      <c r="CN16" s="27"/>
      <c r="CO16" s="27"/>
      <c r="CP16" s="27"/>
      <c r="CQ16" s="27"/>
      <c r="CR16" s="27"/>
      <c r="CS16" s="27"/>
      <c r="CT16" s="27"/>
      <c r="CU16" s="27"/>
      <c r="CV16" s="27"/>
      <c r="CW16" s="27"/>
      <c r="CX16" s="27"/>
      <c r="CY16" s="27"/>
      <c r="CZ16" s="27"/>
      <c r="DA16" s="27"/>
      <c r="DB16" s="27"/>
      <c r="DC16" s="27"/>
      <c r="DD16" s="27"/>
      <c r="DE16" s="27"/>
      <c r="DF16" s="27"/>
      <c r="DG16" s="27"/>
      <c r="DH16" s="27"/>
      <c r="DI16" s="27"/>
      <c r="DJ16" s="27"/>
      <c r="DK16" s="27"/>
      <c r="DL16" s="27"/>
      <c r="DM16" s="27"/>
      <c r="DN16" s="27"/>
      <c r="DO16" s="27"/>
      <c r="DP16" s="27"/>
      <c r="DQ16" s="27"/>
      <c r="DR16" s="27"/>
      <c r="DS16" s="27"/>
      <c r="DT16" s="27"/>
      <c r="DU16" s="27"/>
      <c r="DV16" s="27"/>
      <c r="DW16" s="27"/>
      <c r="DX16" s="27"/>
      <c r="DY16" s="27"/>
      <c r="DZ16" s="27"/>
      <c r="EA16" s="27"/>
      <c r="EB16" s="27"/>
      <c r="EC16" s="27"/>
      <c r="ED16" s="27"/>
      <c r="EE16" s="27"/>
      <c r="EF16" s="27"/>
      <c r="EG16" s="27"/>
      <c r="EH16" s="27"/>
      <c r="EI16" s="27"/>
      <c r="EJ16" s="27"/>
      <c r="EK16" s="27"/>
      <c r="EL16" s="27"/>
      <c r="EM16" s="27"/>
      <c r="EN16" s="27"/>
      <c r="EO16" s="27"/>
      <c r="EP16" s="27"/>
      <c r="EQ16" s="27"/>
      <c r="ER16" s="27"/>
      <c r="ES16" s="27"/>
      <c r="ET16" s="27"/>
      <c r="EU16" s="27"/>
      <c r="EV16" s="27"/>
      <c r="EW16" s="27"/>
      <c r="EX16" s="27"/>
      <c r="EY16" s="27"/>
      <c r="EZ16" s="27"/>
      <c r="FA16" s="27"/>
      <c r="FB16" s="27"/>
      <c r="FC16" s="27"/>
      <c r="FD16" s="27"/>
      <c r="FE16" s="27"/>
      <c r="FF16" s="27"/>
      <c r="FG16" s="27"/>
      <c r="FH16" s="27"/>
      <c r="FI16" s="27"/>
      <c r="FJ16" s="27"/>
      <c r="FK16" s="27"/>
      <c r="FL16" s="27"/>
      <c r="FM16" s="27"/>
      <c r="FN16" s="27"/>
      <c r="FO16" s="27"/>
      <c r="FP16" s="27"/>
      <c r="FQ16" s="27"/>
      <c r="FR16" s="27"/>
      <c r="FS16" s="27"/>
      <c r="FT16" s="27"/>
      <c r="FU16" s="27"/>
      <c r="FV16" s="27"/>
      <c r="FW16" s="27"/>
      <c r="FX16" s="27"/>
      <c r="FY16" s="27"/>
      <c r="FZ16" s="27"/>
      <c r="GA16" s="27"/>
      <c r="GB16" s="27"/>
      <c r="GC16" s="27"/>
      <c r="GD16" s="27"/>
      <c r="GE16" s="27"/>
      <c r="GF16" s="27"/>
      <c r="GG16" s="27"/>
      <c r="GH16" s="27"/>
      <c r="GI16" s="27"/>
      <c r="GJ16" s="27"/>
      <c r="GK16" s="27"/>
      <c r="GL16" s="27"/>
      <c r="GM16" s="27"/>
      <c r="GN16" s="27"/>
      <c r="GO16" s="27"/>
      <c r="GP16" s="27"/>
      <c r="GQ16" s="27"/>
      <c r="GR16" s="27"/>
      <c r="GS16" s="27"/>
      <c r="GT16" s="27"/>
      <c r="GU16" s="27"/>
      <c r="GV16" s="27"/>
      <c r="GW16" s="27"/>
      <c r="GX16" s="27"/>
      <c r="GY16" s="27"/>
      <c r="GZ16" s="27"/>
      <c r="HA16" s="27"/>
      <c r="HB16" s="27"/>
      <c r="HC16" s="27"/>
      <c r="HD16" s="27"/>
      <c r="HE16" s="27"/>
      <c r="HF16" s="27"/>
      <c r="HG16" s="27"/>
      <c r="HH16" s="27"/>
      <c r="HI16" s="27"/>
      <c r="HJ16" s="27"/>
      <c r="HK16" s="27"/>
      <c r="HL16" s="27"/>
      <c r="HM16" s="27"/>
      <c r="HN16" s="27"/>
      <c r="HO16" s="27"/>
      <c r="HP16" s="27"/>
      <c r="HQ16" s="27"/>
      <c r="HR16" s="27"/>
      <c r="HS16" s="27"/>
      <c r="HT16" s="27"/>
      <c r="HU16" s="27"/>
      <c r="HV16" s="27"/>
      <c r="HW16" s="27"/>
      <c r="HX16" s="27"/>
      <c r="HY16" s="27"/>
      <c r="HZ16" s="27"/>
      <c r="IA16" s="27"/>
      <c r="IB16" s="27"/>
      <c r="IC16" s="27"/>
      <c r="ID16" s="27"/>
      <c r="IE16" s="27"/>
      <c r="IF16" s="27"/>
      <c r="IG16" s="27"/>
      <c r="IH16" s="27"/>
      <c r="II16" s="27"/>
      <c r="IJ16" s="27"/>
      <c r="IK16" s="27"/>
      <c r="IL16" s="27"/>
      <c r="IM16" s="27"/>
      <c r="IN16" s="27"/>
      <c r="IO16" s="27"/>
      <c r="IP16" s="27"/>
      <c r="IQ16" s="27"/>
      <c r="IR16" s="27"/>
      <c r="IS16" s="27"/>
      <c r="IT16" s="27"/>
      <c r="IU16" s="27"/>
      <c r="IV16" s="27"/>
      <c r="IW16" s="27"/>
    </row>
    <row r="17" spans="1:257" ht="15.75" customHeight="1" x14ac:dyDescent="0.3">
      <c r="A17" s="30" t="str">
        <f>'02 Acts - Data'!B23</f>
        <v>Представитель Южного РЭС АО "ОЭК" и АО "ОЭК"</v>
      </c>
      <c r="B17" s="30"/>
      <c r="C17" s="30"/>
      <c r="D17" s="30"/>
      <c r="E17" s="30"/>
      <c r="F17" s="30"/>
      <c r="G17" s="30"/>
      <c r="H17" s="27" t="s">
        <v>111</v>
      </c>
      <c r="I17" s="34"/>
      <c r="J17" s="27"/>
      <c r="K17" s="27"/>
      <c r="L17" s="27"/>
      <c r="M17" s="27"/>
      <c r="N17" s="27"/>
      <c r="O17" s="27"/>
      <c r="P17" s="27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  <c r="CK17" s="27"/>
      <c r="CL17" s="27"/>
      <c r="CM17" s="27"/>
      <c r="CN17" s="27"/>
      <c r="CO17" s="27"/>
      <c r="CP17" s="27"/>
      <c r="CQ17" s="27"/>
      <c r="CR17" s="27"/>
      <c r="CS17" s="27"/>
      <c r="CT17" s="27"/>
      <c r="CU17" s="27"/>
      <c r="CV17" s="27"/>
      <c r="CW17" s="27"/>
      <c r="CX17" s="27"/>
      <c r="CY17" s="27"/>
      <c r="CZ17" s="27"/>
      <c r="DA17" s="27"/>
      <c r="DB17" s="27"/>
      <c r="DC17" s="27"/>
      <c r="DD17" s="27"/>
      <c r="DE17" s="27"/>
      <c r="DF17" s="27"/>
      <c r="DG17" s="27"/>
      <c r="DH17" s="27"/>
      <c r="DI17" s="27"/>
      <c r="DJ17" s="27"/>
      <c r="DK17" s="27"/>
      <c r="DL17" s="27"/>
      <c r="DM17" s="27"/>
      <c r="DN17" s="27"/>
      <c r="DO17" s="27"/>
      <c r="DP17" s="27"/>
      <c r="DQ17" s="27"/>
      <c r="DR17" s="27"/>
      <c r="DS17" s="27"/>
      <c r="DT17" s="27"/>
      <c r="DU17" s="27"/>
      <c r="DV17" s="27"/>
      <c r="DW17" s="27"/>
      <c r="DX17" s="27"/>
      <c r="DY17" s="27"/>
      <c r="DZ17" s="27"/>
      <c r="EA17" s="27"/>
      <c r="EB17" s="27"/>
      <c r="EC17" s="27"/>
      <c r="ED17" s="27"/>
      <c r="EE17" s="27"/>
      <c r="EF17" s="27"/>
      <c r="EG17" s="27"/>
      <c r="EH17" s="27"/>
      <c r="EI17" s="27"/>
      <c r="EJ17" s="27"/>
      <c r="EK17" s="27"/>
      <c r="EL17" s="27"/>
      <c r="EM17" s="27"/>
      <c r="EN17" s="27"/>
      <c r="EO17" s="27"/>
      <c r="EP17" s="27"/>
      <c r="EQ17" s="27"/>
      <c r="ER17" s="27"/>
      <c r="ES17" s="27"/>
      <c r="ET17" s="27"/>
      <c r="EU17" s="27"/>
      <c r="EV17" s="27"/>
      <c r="EW17" s="27"/>
      <c r="EX17" s="27"/>
      <c r="EY17" s="27"/>
      <c r="EZ17" s="27"/>
      <c r="FA17" s="27"/>
      <c r="FB17" s="27"/>
      <c r="FC17" s="27"/>
      <c r="FD17" s="27"/>
      <c r="FE17" s="27"/>
      <c r="FF17" s="27"/>
      <c r="FG17" s="27"/>
      <c r="FH17" s="27"/>
      <c r="FI17" s="27"/>
      <c r="FJ17" s="27"/>
      <c r="FK17" s="27"/>
      <c r="FL17" s="27"/>
      <c r="FM17" s="27"/>
      <c r="FN17" s="27"/>
      <c r="FO17" s="27"/>
      <c r="FP17" s="27"/>
      <c r="FQ17" s="27"/>
      <c r="FR17" s="27"/>
      <c r="FS17" s="27"/>
      <c r="FT17" s="27"/>
      <c r="FU17" s="27"/>
      <c r="FV17" s="27"/>
      <c r="FW17" s="27"/>
      <c r="FX17" s="27"/>
      <c r="FY17" s="27"/>
      <c r="FZ17" s="27"/>
      <c r="GA17" s="27"/>
      <c r="GB17" s="27"/>
      <c r="GC17" s="27"/>
      <c r="GD17" s="27"/>
      <c r="GE17" s="27"/>
      <c r="GF17" s="27"/>
      <c r="GG17" s="27"/>
      <c r="GH17" s="27"/>
      <c r="GI17" s="27"/>
      <c r="GJ17" s="27"/>
      <c r="GK17" s="27"/>
      <c r="GL17" s="27"/>
      <c r="GM17" s="27"/>
      <c r="GN17" s="27"/>
      <c r="GO17" s="27"/>
      <c r="GP17" s="27"/>
      <c r="GQ17" s="27"/>
      <c r="GR17" s="27"/>
      <c r="GS17" s="27"/>
      <c r="GT17" s="27"/>
      <c r="GU17" s="27"/>
      <c r="GV17" s="27"/>
      <c r="GW17" s="27"/>
      <c r="GX17" s="27"/>
      <c r="GY17" s="27"/>
      <c r="GZ17" s="27"/>
      <c r="HA17" s="27"/>
      <c r="HB17" s="27"/>
      <c r="HC17" s="27"/>
      <c r="HD17" s="27"/>
      <c r="HE17" s="27"/>
      <c r="HF17" s="27"/>
      <c r="HG17" s="27"/>
      <c r="HH17" s="27"/>
      <c r="HI17" s="27"/>
      <c r="HJ17" s="27"/>
      <c r="HK17" s="27"/>
      <c r="HL17" s="27"/>
      <c r="HM17" s="27"/>
      <c r="HN17" s="27"/>
      <c r="HO17" s="27"/>
      <c r="HP17" s="27"/>
      <c r="HQ17" s="27"/>
      <c r="HR17" s="27"/>
      <c r="HS17" s="27"/>
      <c r="HT17" s="27"/>
      <c r="HU17" s="27"/>
      <c r="HV17" s="27"/>
      <c r="HW17" s="27"/>
      <c r="HX17" s="27"/>
      <c r="HY17" s="27"/>
      <c r="HZ17" s="27"/>
      <c r="IA17" s="27"/>
      <c r="IB17" s="27"/>
      <c r="IC17" s="27"/>
      <c r="ID17" s="27"/>
      <c r="IE17" s="27"/>
      <c r="IF17" s="27"/>
      <c r="IG17" s="27"/>
      <c r="IH17" s="27"/>
      <c r="II17" s="27"/>
      <c r="IJ17" s="27"/>
      <c r="IK17" s="27"/>
      <c r="IL17" s="27"/>
      <c r="IM17" s="27"/>
      <c r="IN17" s="27"/>
      <c r="IO17" s="27"/>
      <c r="IP17" s="27"/>
      <c r="IQ17" s="27"/>
      <c r="IR17" s="27"/>
      <c r="IS17" s="27"/>
      <c r="IT17" s="27"/>
      <c r="IU17" s="27"/>
      <c r="IV17" s="27"/>
      <c r="IW17" s="27"/>
    </row>
    <row r="18" spans="1:257" ht="15.75" customHeight="1" x14ac:dyDescent="0.3">
      <c r="A18" s="27" t="s">
        <v>112</v>
      </c>
      <c r="B18" s="29"/>
      <c r="C18" s="29"/>
      <c r="D18" s="27"/>
      <c r="E18" s="27"/>
      <c r="F18" s="29"/>
      <c r="G18" s="29"/>
      <c r="H18" s="29"/>
      <c r="I18" s="29"/>
      <c r="J18" s="27"/>
      <c r="K18" s="27"/>
      <c r="L18" s="27"/>
      <c r="M18" s="27"/>
      <c r="N18" s="27"/>
      <c r="O18" s="27"/>
      <c r="P18" s="27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  <c r="CK18" s="27"/>
      <c r="CL18" s="27"/>
      <c r="CM18" s="27"/>
      <c r="CN18" s="27"/>
      <c r="CO18" s="27"/>
      <c r="CP18" s="27"/>
      <c r="CQ18" s="27"/>
      <c r="CR18" s="27"/>
      <c r="CS18" s="27"/>
      <c r="CT18" s="27"/>
      <c r="CU18" s="27"/>
      <c r="CV18" s="27"/>
      <c r="CW18" s="27"/>
      <c r="CX18" s="27"/>
      <c r="CY18" s="27"/>
      <c r="CZ18" s="27"/>
      <c r="DA18" s="27"/>
      <c r="DB18" s="27"/>
      <c r="DC18" s="27"/>
      <c r="DD18" s="27"/>
      <c r="DE18" s="27"/>
      <c r="DF18" s="27"/>
      <c r="DG18" s="27"/>
      <c r="DH18" s="27"/>
      <c r="DI18" s="27"/>
      <c r="DJ18" s="27"/>
      <c r="DK18" s="27"/>
      <c r="DL18" s="27"/>
      <c r="DM18" s="27"/>
      <c r="DN18" s="27"/>
      <c r="DO18" s="27"/>
      <c r="DP18" s="27"/>
      <c r="DQ18" s="27"/>
      <c r="DR18" s="27"/>
      <c r="DS18" s="27"/>
      <c r="DT18" s="27"/>
      <c r="DU18" s="27"/>
      <c r="DV18" s="27"/>
      <c r="DW18" s="27"/>
      <c r="DX18" s="27"/>
      <c r="DY18" s="27"/>
      <c r="DZ18" s="27"/>
      <c r="EA18" s="27"/>
      <c r="EB18" s="27"/>
      <c r="EC18" s="27"/>
      <c r="ED18" s="27"/>
      <c r="EE18" s="27"/>
      <c r="EF18" s="27"/>
      <c r="EG18" s="27"/>
      <c r="EH18" s="27"/>
      <c r="EI18" s="27"/>
      <c r="EJ18" s="27"/>
      <c r="EK18" s="27"/>
      <c r="EL18" s="27"/>
      <c r="EM18" s="27"/>
      <c r="EN18" s="27"/>
      <c r="EO18" s="27"/>
      <c r="EP18" s="27"/>
      <c r="EQ18" s="27"/>
      <c r="ER18" s="27"/>
      <c r="ES18" s="27"/>
      <c r="ET18" s="27"/>
      <c r="EU18" s="27"/>
      <c r="EV18" s="27"/>
      <c r="EW18" s="27"/>
      <c r="EX18" s="27"/>
      <c r="EY18" s="27"/>
      <c r="EZ18" s="27"/>
      <c r="FA18" s="27"/>
      <c r="FB18" s="27"/>
      <c r="FC18" s="27"/>
      <c r="FD18" s="27"/>
      <c r="FE18" s="27"/>
      <c r="FF18" s="27"/>
      <c r="FG18" s="27"/>
      <c r="FH18" s="27"/>
      <c r="FI18" s="27"/>
      <c r="FJ18" s="27"/>
      <c r="FK18" s="27"/>
      <c r="FL18" s="27"/>
      <c r="FM18" s="27"/>
      <c r="FN18" s="27"/>
      <c r="FO18" s="27"/>
      <c r="FP18" s="27"/>
      <c r="FQ18" s="27"/>
      <c r="FR18" s="27"/>
      <c r="FS18" s="27"/>
      <c r="FT18" s="27"/>
      <c r="FU18" s="27"/>
      <c r="FV18" s="27"/>
      <c r="FW18" s="27"/>
      <c r="FX18" s="27"/>
      <c r="FY18" s="27"/>
      <c r="FZ18" s="27"/>
      <c r="GA18" s="27"/>
      <c r="GB18" s="27"/>
      <c r="GC18" s="27"/>
      <c r="GD18" s="27"/>
      <c r="GE18" s="27"/>
      <c r="GF18" s="27"/>
      <c r="GG18" s="27"/>
      <c r="GH18" s="27"/>
      <c r="GI18" s="27"/>
      <c r="GJ18" s="27"/>
      <c r="GK18" s="27"/>
      <c r="GL18" s="27"/>
      <c r="GM18" s="27"/>
      <c r="GN18" s="27"/>
      <c r="GO18" s="27"/>
      <c r="GP18" s="27"/>
      <c r="GQ18" s="27"/>
      <c r="GR18" s="27"/>
      <c r="GS18" s="27"/>
      <c r="GT18" s="27"/>
      <c r="GU18" s="27"/>
      <c r="GV18" s="27"/>
      <c r="GW18" s="27"/>
      <c r="GX18" s="27"/>
      <c r="GY18" s="27"/>
      <c r="GZ18" s="27"/>
      <c r="HA18" s="27"/>
      <c r="HB18" s="27"/>
      <c r="HC18" s="27"/>
      <c r="HD18" s="27"/>
      <c r="HE18" s="27"/>
      <c r="HF18" s="27"/>
      <c r="HG18" s="27"/>
      <c r="HH18" s="27"/>
      <c r="HI18" s="27"/>
      <c r="HJ18" s="27"/>
      <c r="HK18" s="27"/>
      <c r="HL18" s="27"/>
      <c r="HM18" s="27"/>
      <c r="HN18" s="27"/>
      <c r="HO18" s="27"/>
      <c r="HP18" s="27"/>
      <c r="HQ18" s="27"/>
      <c r="HR18" s="27"/>
      <c r="HS18" s="27"/>
      <c r="HT18" s="27"/>
      <c r="HU18" s="27"/>
      <c r="HV18" s="27"/>
      <c r="HW18" s="27"/>
      <c r="HX18" s="27"/>
      <c r="HY18" s="27"/>
      <c r="HZ18" s="27"/>
      <c r="IA18" s="27"/>
      <c r="IB18" s="27"/>
      <c r="IC18" s="27"/>
      <c r="ID18" s="27"/>
      <c r="IE18" s="27"/>
      <c r="IF18" s="27"/>
      <c r="IG18" s="27"/>
      <c r="IH18" s="27"/>
      <c r="II18" s="27"/>
      <c r="IJ18" s="27"/>
      <c r="IK18" s="27"/>
      <c r="IL18" s="27"/>
      <c r="IM18" s="27"/>
      <c r="IN18" s="27"/>
      <c r="IO18" s="27"/>
      <c r="IP18" s="27"/>
      <c r="IQ18" s="27"/>
      <c r="IR18" s="27"/>
      <c r="IS18" s="27"/>
      <c r="IT18" s="27"/>
      <c r="IU18" s="27"/>
      <c r="IV18" s="27"/>
      <c r="IW18" s="27"/>
    </row>
    <row r="19" spans="1:257" ht="15.75" customHeight="1" x14ac:dyDescent="0.3">
      <c r="A19" s="7" t="s">
        <v>113</v>
      </c>
      <c r="B19" s="5"/>
      <c r="C19" s="27"/>
      <c r="D19" s="6"/>
      <c r="E19" s="6"/>
      <c r="F19" s="6"/>
      <c r="G19" s="6"/>
      <c r="H19" s="6"/>
      <c r="I19" s="6"/>
      <c r="J19" s="6"/>
      <c r="K19" s="6"/>
      <c r="L19" s="27"/>
      <c r="M19" s="27"/>
      <c r="N19" s="27"/>
      <c r="O19" s="27"/>
      <c r="P19" s="27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  <c r="CK19" s="27"/>
      <c r="CL19" s="27"/>
      <c r="CM19" s="27"/>
      <c r="CN19" s="27"/>
      <c r="CO19" s="27"/>
      <c r="CP19" s="27"/>
      <c r="CQ19" s="27"/>
      <c r="CR19" s="27"/>
      <c r="CS19" s="27"/>
      <c r="CT19" s="27"/>
      <c r="CU19" s="27"/>
      <c r="CV19" s="27"/>
      <c r="CW19" s="27"/>
      <c r="CX19" s="27"/>
      <c r="CY19" s="27"/>
      <c r="CZ19" s="27"/>
      <c r="DA19" s="27"/>
      <c r="DB19" s="27"/>
      <c r="DC19" s="27"/>
      <c r="DD19" s="27"/>
      <c r="DE19" s="27"/>
      <c r="DF19" s="27"/>
      <c r="DG19" s="27"/>
      <c r="DH19" s="27"/>
      <c r="DI19" s="27"/>
      <c r="DJ19" s="27"/>
      <c r="DK19" s="27"/>
      <c r="DL19" s="27"/>
      <c r="DM19" s="27"/>
      <c r="DN19" s="27"/>
      <c r="DO19" s="27"/>
      <c r="DP19" s="27"/>
      <c r="DQ19" s="27"/>
      <c r="DR19" s="27"/>
      <c r="DS19" s="27"/>
      <c r="DT19" s="27"/>
      <c r="DU19" s="27"/>
      <c r="DV19" s="27"/>
      <c r="DW19" s="27"/>
      <c r="DX19" s="27"/>
      <c r="DY19" s="27"/>
      <c r="DZ19" s="27"/>
      <c r="EA19" s="27"/>
      <c r="EB19" s="27"/>
      <c r="EC19" s="27"/>
      <c r="ED19" s="27"/>
      <c r="EE19" s="27"/>
      <c r="EF19" s="27"/>
      <c r="EG19" s="27"/>
      <c r="EH19" s="27"/>
      <c r="EI19" s="27"/>
      <c r="EJ19" s="27"/>
      <c r="EK19" s="27"/>
      <c r="EL19" s="27"/>
      <c r="EM19" s="27"/>
      <c r="EN19" s="27"/>
      <c r="EO19" s="27"/>
      <c r="EP19" s="27"/>
      <c r="EQ19" s="27"/>
      <c r="ER19" s="27"/>
      <c r="ES19" s="27"/>
      <c r="ET19" s="27"/>
      <c r="EU19" s="27"/>
      <c r="EV19" s="27"/>
      <c r="EW19" s="27"/>
      <c r="EX19" s="27"/>
      <c r="EY19" s="27"/>
      <c r="EZ19" s="27"/>
      <c r="FA19" s="27"/>
      <c r="FB19" s="27"/>
      <c r="FC19" s="27"/>
      <c r="FD19" s="27"/>
      <c r="FE19" s="27"/>
      <c r="FF19" s="27"/>
      <c r="FG19" s="27"/>
      <c r="FH19" s="27"/>
      <c r="FI19" s="27"/>
      <c r="FJ19" s="27"/>
      <c r="FK19" s="27"/>
      <c r="FL19" s="27"/>
      <c r="FM19" s="27"/>
      <c r="FN19" s="27"/>
      <c r="FO19" s="27"/>
      <c r="FP19" s="27"/>
      <c r="FQ19" s="27"/>
      <c r="FR19" s="27"/>
      <c r="FS19" s="27"/>
      <c r="FT19" s="27"/>
      <c r="FU19" s="27"/>
      <c r="FV19" s="27"/>
      <c r="FW19" s="27"/>
      <c r="FX19" s="27"/>
      <c r="FY19" s="27"/>
      <c r="FZ19" s="27"/>
      <c r="GA19" s="27"/>
      <c r="GB19" s="27"/>
      <c r="GC19" s="27"/>
      <c r="GD19" s="27"/>
      <c r="GE19" s="27"/>
      <c r="GF19" s="27"/>
      <c r="GG19" s="27"/>
      <c r="GH19" s="27"/>
      <c r="GI19" s="27"/>
      <c r="GJ19" s="27"/>
      <c r="GK19" s="27"/>
      <c r="GL19" s="27"/>
      <c r="GM19" s="27"/>
      <c r="GN19" s="27"/>
      <c r="GO19" s="27"/>
      <c r="GP19" s="27"/>
      <c r="GQ19" s="27"/>
      <c r="GR19" s="27"/>
      <c r="GS19" s="27"/>
      <c r="GT19" s="27"/>
      <c r="GU19" s="27"/>
      <c r="GV19" s="27"/>
      <c r="GW19" s="27"/>
      <c r="GX19" s="27"/>
      <c r="GY19" s="27"/>
      <c r="GZ19" s="27"/>
      <c r="HA19" s="27"/>
      <c r="HB19" s="27"/>
      <c r="HC19" s="27"/>
      <c r="HD19" s="27"/>
      <c r="HE19" s="27"/>
      <c r="HF19" s="27"/>
      <c r="HG19" s="27"/>
      <c r="HH19" s="27"/>
      <c r="HI19" s="27"/>
      <c r="HJ19" s="27"/>
      <c r="HK19" s="27"/>
      <c r="HL19" s="27"/>
      <c r="HM19" s="27"/>
      <c r="HN19" s="27"/>
      <c r="HO19" s="27"/>
      <c r="HP19" s="27"/>
      <c r="HQ19" s="27"/>
      <c r="HR19" s="27"/>
      <c r="HS19" s="27"/>
      <c r="HT19" s="27"/>
      <c r="HU19" s="27"/>
      <c r="HV19" s="27"/>
      <c r="HW19" s="27"/>
      <c r="HX19" s="27"/>
      <c r="HY19" s="27"/>
      <c r="HZ19" s="27"/>
      <c r="IA19" s="27"/>
      <c r="IB19" s="27"/>
      <c r="IC19" s="27"/>
      <c r="ID19" s="27"/>
      <c r="IE19" s="27"/>
      <c r="IF19" s="27"/>
      <c r="IG19" s="27"/>
      <c r="IH19" s="27"/>
      <c r="II19" s="27"/>
      <c r="IJ19" s="27"/>
      <c r="IK19" s="27"/>
      <c r="IL19" s="27"/>
      <c r="IM19" s="27"/>
      <c r="IN19" s="27"/>
      <c r="IO19" s="27"/>
      <c r="IP19" s="27"/>
      <c r="IQ19" s="27"/>
      <c r="IR19" s="27"/>
      <c r="IS19" s="27"/>
      <c r="IT19" s="27"/>
      <c r="IU19" s="27"/>
      <c r="IV19" s="27"/>
      <c r="IW19" s="27"/>
    </row>
    <row r="20" spans="1:257" ht="15.75" customHeight="1" x14ac:dyDescent="0.3">
      <c r="A20" s="27" t="s">
        <v>114</v>
      </c>
      <c r="B20" s="5"/>
      <c r="C20" s="27"/>
      <c r="D20" s="29"/>
      <c r="E20" s="29"/>
      <c r="F20" s="29"/>
      <c r="G20" s="7"/>
      <c r="H20" s="5"/>
      <c r="I20" s="5"/>
      <c r="J20" s="5"/>
      <c r="K20" s="5"/>
      <c r="L20" s="27"/>
      <c r="M20" s="27"/>
      <c r="N20" s="27"/>
      <c r="O20" s="27"/>
      <c r="P20" s="27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  <c r="CK20" s="27"/>
      <c r="CL20" s="27"/>
      <c r="CM20" s="27"/>
      <c r="CN20" s="27"/>
      <c r="CO20" s="27"/>
      <c r="CP20" s="27"/>
      <c r="CQ20" s="27"/>
      <c r="CR20" s="27"/>
      <c r="CS20" s="27"/>
      <c r="CT20" s="27"/>
      <c r="CU20" s="27"/>
      <c r="CV20" s="27"/>
      <c r="CW20" s="27"/>
      <c r="CX20" s="27"/>
      <c r="CY20" s="27"/>
      <c r="CZ20" s="27"/>
      <c r="DA20" s="27"/>
      <c r="DB20" s="27"/>
      <c r="DC20" s="27"/>
      <c r="DD20" s="27"/>
      <c r="DE20" s="27"/>
      <c r="DF20" s="27"/>
      <c r="DG20" s="27"/>
      <c r="DH20" s="27"/>
      <c r="DI20" s="27"/>
      <c r="DJ20" s="27"/>
      <c r="DK20" s="27"/>
      <c r="DL20" s="27"/>
      <c r="DM20" s="27"/>
      <c r="DN20" s="27"/>
      <c r="DO20" s="27"/>
      <c r="DP20" s="27"/>
      <c r="DQ20" s="27"/>
      <c r="DR20" s="27"/>
      <c r="DS20" s="27"/>
      <c r="DT20" s="27"/>
      <c r="DU20" s="27"/>
      <c r="DV20" s="27"/>
      <c r="DW20" s="27"/>
      <c r="DX20" s="27"/>
      <c r="DY20" s="27"/>
      <c r="DZ20" s="27"/>
      <c r="EA20" s="27"/>
      <c r="EB20" s="27"/>
      <c r="EC20" s="27"/>
      <c r="ED20" s="27"/>
      <c r="EE20" s="27"/>
      <c r="EF20" s="27"/>
      <c r="EG20" s="27"/>
      <c r="EH20" s="27"/>
      <c r="EI20" s="27"/>
      <c r="EJ20" s="27"/>
      <c r="EK20" s="27"/>
      <c r="EL20" s="27"/>
      <c r="EM20" s="27"/>
      <c r="EN20" s="27"/>
      <c r="EO20" s="27"/>
      <c r="EP20" s="27"/>
      <c r="EQ20" s="27"/>
      <c r="ER20" s="27"/>
      <c r="ES20" s="27"/>
      <c r="ET20" s="27"/>
      <c r="EU20" s="27"/>
      <c r="EV20" s="27"/>
      <c r="EW20" s="27"/>
      <c r="EX20" s="27"/>
      <c r="EY20" s="27"/>
      <c r="EZ20" s="27"/>
      <c r="FA20" s="27"/>
      <c r="FB20" s="27"/>
      <c r="FC20" s="27"/>
      <c r="FD20" s="27"/>
      <c r="FE20" s="27"/>
      <c r="FF20" s="27"/>
      <c r="FG20" s="27"/>
      <c r="FH20" s="27"/>
      <c r="FI20" s="27"/>
      <c r="FJ20" s="27"/>
      <c r="FK20" s="27"/>
      <c r="FL20" s="27"/>
      <c r="FM20" s="27"/>
      <c r="FN20" s="27"/>
      <c r="FO20" s="27"/>
      <c r="FP20" s="27"/>
      <c r="FQ20" s="27"/>
      <c r="FR20" s="27"/>
      <c r="FS20" s="27"/>
      <c r="FT20" s="27"/>
      <c r="FU20" s="27"/>
      <c r="FV20" s="27"/>
      <c r="FW20" s="27"/>
      <c r="FX20" s="27"/>
      <c r="FY20" s="27"/>
      <c r="FZ20" s="27"/>
      <c r="GA20" s="27"/>
      <c r="GB20" s="27"/>
      <c r="GC20" s="27"/>
      <c r="GD20" s="27"/>
      <c r="GE20" s="27"/>
      <c r="GF20" s="27"/>
      <c r="GG20" s="27"/>
      <c r="GH20" s="27"/>
      <c r="GI20" s="27"/>
      <c r="GJ20" s="27"/>
      <c r="GK20" s="27"/>
      <c r="GL20" s="27"/>
      <c r="GM20" s="27"/>
      <c r="GN20" s="27"/>
      <c r="GO20" s="27"/>
      <c r="GP20" s="27"/>
      <c r="GQ20" s="27"/>
      <c r="GR20" s="27"/>
      <c r="GS20" s="27"/>
      <c r="GT20" s="27"/>
      <c r="GU20" s="27"/>
      <c r="GV20" s="27"/>
      <c r="GW20" s="27"/>
      <c r="GX20" s="27"/>
      <c r="GY20" s="27"/>
      <c r="GZ20" s="27"/>
      <c r="HA20" s="27"/>
      <c r="HB20" s="27"/>
      <c r="HC20" s="27"/>
      <c r="HD20" s="27"/>
      <c r="HE20" s="27"/>
      <c r="HF20" s="27"/>
      <c r="HG20" s="27"/>
      <c r="HH20" s="27"/>
      <c r="HI20" s="27"/>
      <c r="HJ20" s="27"/>
      <c r="HK20" s="27"/>
      <c r="HL20" s="27"/>
      <c r="HM20" s="27"/>
      <c r="HN20" s="27"/>
      <c r="HO20" s="27"/>
      <c r="HP20" s="27"/>
      <c r="HQ20" s="27"/>
      <c r="HR20" s="27"/>
      <c r="HS20" s="27"/>
      <c r="HT20" s="27"/>
      <c r="HU20" s="27"/>
      <c r="HV20" s="27"/>
      <c r="HW20" s="27"/>
      <c r="HX20" s="27"/>
      <c r="HY20" s="27"/>
      <c r="HZ20" s="27"/>
      <c r="IA20" s="27"/>
      <c r="IB20" s="27"/>
      <c r="IC20" s="27"/>
      <c r="ID20" s="27"/>
      <c r="IE20" s="27"/>
      <c r="IF20" s="27"/>
      <c r="IG20" s="27"/>
      <c r="IH20" s="27"/>
      <c r="II20" s="27"/>
      <c r="IJ20" s="27"/>
      <c r="IK20" s="27"/>
      <c r="IL20" s="27"/>
      <c r="IM20" s="27"/>
      <c r="IN20" s="27"/>
      <c r="IO20" s="27"/>
      <c r="IP20" s="27"/>
      <c r="IQ20" s="27"/>
      <c r="IR20" s="27"/>
      <c r="IS20" s="27"/>
      <c r="IT20" s="27"/>
      <c r="IU20" s="27"/>
      <c r="IV20" s="27"/>
      <c r="IW20" s="27"/>
    </row>
    <row r="21" spans="1:257" ht="15.75" customHeight="1" x14ac:dyDescent="0.3">
      <c r="A21" s="27" t="s">
        <v>115</v>
      </c>
      <c r="B21" s="25"/>
      <c r="C21" s="27"/>
      <c r="D21" s="1"/>
      <c r="E21" s="1"/>
      <c r="F21" s="34"/>
      <c r="G21" s="1"/>
      <c r="H21" s="1"/>
      <c r="I21" s="34"/>
      <c r="J21" s="5"/>
      <c r="K21" s="5"/>
      <c r="L21" s="27"/>
      <c r="M21" s="27"/>
      <c r="N21" s="27"/>
      <c r="O21" s="27"/>
      <c r="P21" s="27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  <c r="CK21" s="27"/>
      <c r="CL21" s="27"/>
      <c r="CM21" s="27"/>
      <c r="CN21" s="27"/>
      <c r="CO21" s="27"/>
      <c r="CP21" s="27"/>
      <c r="CQ21" s="27"/>
      <c r="CR21" s="27"/>
      <c r="CS21" s="27"/>
      <c r="CT21" s="27"/>
      <c r="CU21" s="27"/>
      <c r="CV21" s="27"/>
      <c r="CW21" s="27"/>
      <c r="CX21" s="27"/>
      <c r="CY21" s="27"/>
      <c r="CZ21" s="27"/>
      <c r="DA21" s="27"/>
      <c r="DB21" s="27"/>
      <c r="DC21" s="27"/>
      <c r="DD21" s="27"/>
      <c r="DE21" s="27"/>
      <c r="DF21" s="27"/>
      <c r="DG21" s="27"/>
      <c r="DH21" s="27"/>
      <c r="DI21" s="27"/>
      <c r="DJ21" s="27"/>
      <c r="DK21" s="27"/>
      <c r="DL21" s="27"/>
      <c r="DM21" s="27"/>
      <c r="DN21" s="27"/>
      <c r="DO21" s="27"/>
      <c r="DP21" s="27"/>
      <c r="DQ21" s="27"/>
      <c r="DR21" s="27"/>
      <c r="DS21" s="27"/>
      <c r="DT21" s="27"/>
      <c r="DU21" s="27"/>
      <c r="DV21" s="27"/>
      <c r="DW21" s="27"/>
      <c r="DX21" s="27"/>
      <c r="DY21" s="27"/>
      <c r="DZ21" s="27"/>
      <c r="EA21" s="27"/>
      <c r="EB21" s="27"/>
      <c r="EC21" s="27"/>
      <c r="ED21" s="27"/>
      <c r="EE21" s="27"/>
      <c r="EF21" s="27"/>
      <c r="EG21" s="27"/>
      <c r="EH21" s="27"/>
      <c r="EI21" s="27"/>
      <c r="EJ21" s="27"/>
      <c r="EK21" s="27"/>
      <c r="EL21" s="27"/>
      <c r="EM21" s="27"/>
      <c r="EN21" s="27"/>
      <c r="EO21" s="27"/>
      <c r="EP21" s="27"/>
      <c r="EQ21" s="27"/>
      <c r="ER21" s="27"/>
      <c r="ES21" s="27"/>
      <c r="ET21" s="27"/>
      <c r="EU21" s="27"/>
      <c r="EV21" s="27"/>
      <c r="EW21" s="27"/>
      <c r="EX21" s="27"/>
      <c r="EY21" s="27"/>
      <c r="EZ21" s="27"/>
      <c r="FA21" s="27"/>
      <c r="FB21" s="27"/>
      <c r="FC21" s="27"/>
      <c r="FD21" s="27"/>
      <c r="FE21" s="27"/>
      <c r="FF21" s="27"/>
      <c r="FG21" s="27"/>
      <c r="FH21" s="27"/>
      <c r="FI21" s="27"/>
      <c r="FJ21" s="27"/>
      <c r="FK21" s="27"/>
      <c r="FL21" s="27"/>
      <c r="FM21" s="27"/>
      <c r="FN21" s="27"/>
      <c r="FO21" s="27"/>
      <c r="FP21" s="27"/>
      <c r="FQ21" s="27"/>
      <c r="FR21" s="27"/>
      <c r="FS21" s="27"/>
      <c r="FT21" s="27"/>
      <c r="FU21" s="27"/>
      <c r="FV21" s="27"/>
      <c r="FW21" s="27"/>
      <c r="FX21" s="27"/>
      <c r="FY21" s="27"/>
      <c r="FZ21" s="27"/>
      <c r="GA21" s="27"/>
      <c r="GB21" s="27"/>
      <c r="GC21" s="27"/>
      <c r="GD21" s="27"/>
      <c r="GE21" s="27"/>
      <c r="GF21" s="27"/>
      <c r="GG21" s="27"/>
      <c r="GH21" s="27"/>
      <c r="GI21" s="27"/>
      <c r="GJ21" s="27"/>
      <c r="GK21" s="27"/>
      <c r="GL21" s="27"/>
      <c r="GM21" s="27"/>
      <c r="GN21" s="27"/>
      <c r="GO21" s="27"/>
      <c r="GP21" s="27"/>
      <c r="GQ21" s="27"/>
      <c r="GR21" s="27"/>
      <c r="GS21" s="27"/>
      <c r="GT21" s="27"/>
      <c r="GU21" s="27"/>
      <c r="GV21" s="27"/>
      <c r="GW21" s="27"/>
      <c r="GX21" s="27"/>
      <c r="GY21" s="27"/>
      <c r="GZ21" s="27"/>
      <c r="HA21" s="27"/>
      <c r="HB21" s="27"/>
      <c r="HC21" s="27"/>
      <c r="HD21" s="27"/>
      <c r="HE21" s="27"/>
      <c r="HF21" s="27"/>
      <c r="HG21" s="27"/>
      <c r="HH21" s="27"/>
      <c r="HI21" s="27"/>
      <c r="HJ21" s="27"/>
      <c r="HK21" s="27"/>
      <c r="HL21" s="27"/>
      <c r="HM21" s="27"/>
      <c r="HN21" s="27"/>
      <c r="HO21" s="27"/>
      <c r="HP21" s="27"/>
      <c r="HQ21" s="27"/>
      <c r="HR21" s="27"/>
      <c r="HS21" s="27"/>
      <c r="HT21" s="27"/>
      <c r="HU21" s="27"/>
      <c r="HV21" s="27"/>
      <c r="HW21" s="27"/>
      <c r="HX21" s="27"/>
      <c r="HY21" s="27"/>
      <c r="HZ21" s="27"/>
      <c r="IA21" s="27"/>
      <c r="IB21" s="27"/>
      <c r="IC21" s="27"/>
      <c r="ID21" s="27"/>
      <c r="IE21" s="27"/>
      <c r="IF21" s="27"/>
      <c r="IG21" s="27"/>
      <c r="IH21" s="27"/>
      <c r="II21" s="27"/>
      <c r="IJ21" s="27"/>
      <c r="IK21" s="27"/>
      <c r="IL21" s="27"/>
      <c r="IM21" s="27"/>
      <c r="IN21" s="27"/>
      <c r="IO21" s="27"/>
      <c r="IP21" s="27"/>
      <c r="IQ21" s="27"/>
      <c r="IR21" s="27"/>
      <c r="IS21" s="27"/>
      <c r="IT21" s="27"/>
      <c r="IU21" s="27"/>
      <c r="IV21" s="27"/>
      <c r="IW21" s="27"/>
    </row>
    <row r="22" spans="1:257" ht="15.75" customHeight="1" x14ac:dyDescent="0.3">
      <c r="A22" s="32"/>
      <c r="B22" s="32"/>
      <c r="C22" s="27"/>
      <c r="D22" s="1"/>
      <c r="E22" s="1"/>
      <c r="F22" s="34"/>
      <c r="G22" s="1"/>
      <c r="H22" s="1"/>
      <c r="I22" s="34"/>
      <c r="J22" s="5"/>
      <c r="K22" s="5"/>
      <c r="L22" s="27"/>
      <c r="M22" s="27"/>
      <c r="N22" s="27"/>
      <c r="O22" s="27"/>
      <c r="P22" s="27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  <c r="CK22" s="27"/>
      <c r="CL22" s="27"/>
      <c r="CM22" s="27"/>
      <c r="CN22" s="27"/>
      <c r="CO22" s="27"/>
      <c r="CP22" s="27"/>
      <c r="CQ22" s="27"/>
      <c r="CR22" s="27"/>
      <c r="CS22" s="27"/>
      <c r="CT22" s="27"/>
      <c r="CU22" s="27"/>
      <c r="CV22" s="27"/>
      <c r="CW22" s="27"/>
      <c r="CX22" s="27"/>
      <c r="CY22" s="27"/>
      <c r="CZ22" s="27"/>
      <c r="DA22" s="27"/>
      <c r="DB22" s="27"/>
      <c r="DC22" s="27"/>
      <c r="DD22" s="27"/>
      <c r="DE22" s="27"/>
      <c r="DF22" s="27"/>
      <c r="DG22" s="27"/>
      <c r="DH22" s="27"/>
      <c r="DI22" s="27"/>
      <c r="DJ22" s="27"/>
      <c r="DK22" s="27"/>
      <c r="DL22" s="27"/>
      <c r="DM22" s="27"/>
      <c r="DN22" s="27"/>
      <c r="DO22" s="27"/>
      <c r="DP22" s="27"/>
      <c r="DQ22" s="27"/>
      <c r="DR22" s="27"/>
      <c r="DS22" s="27"/>
      <c r="DT22" s="27"/>
      <c r="DU22" s="27"/>
      <c r="DV22" s="27"/>
      <c r="DW22" s="27"/>
      <c r="DX22" s="27"/>
      <c r="DY22" s="27"/>
      <c r="DZ22" s="27"/>
      <c r="EA22" s="27"/>
      <c r="EB22" s="27"/>
      <c r="EC22" s="27"/>
      <c r="ED22" s="27"/>
      <c r="EE22" s="27"/>
      <c r="EF22" s="27"/>
      <c r="EG22" s="27"/>
      <c r="EH22" s="27"/>
      <c r="EI22" s="27"/>
      <c r="EJ22" s="27"/>
      <c r="EK22" s="27"/>
      <c r="EL22" s="27"/>
      <c r="EM22" s="27"/>
      <c r="EN22" s="27"/>
      <c r="EO22" s="27"/>
      <c r="EP22" s="27"/>
      <c r="EQ22" s="27"/>
      <c r="ER22" s="27"/>
      <c r="ES22" s="27"/>
      <c r="ET22" s="27"/>
      <c r="EU22" s="27"/>
      <c r="EV22" s="27"/>
      <c r="EW22" s="27"/>
      <c r="EX22" s="27"/>
      <c r="EY22" s="27"/>
      <c r="EZ22" s="27"/>
      <c r="FA22" s="27"/>
      <c r="FB22" s="27"/>
      <c r="FC22" s="27"/>
      <c r="FD22" s="27"/>
      <c r="FE22" s="27"/>
      <c r="FF22" s="27"/>
      <c r="FG22" s="27"/>
      <c r="FH22" s="27"/>
      <c r="FI22" s="27"/>
      <c r="FJ22" s="27"/>
      <c r="FK22" s="27"/>
      <c r="FL22" s="27"/>
      <c r="FM22" s="27"/>
      <c r="FN22" s="27"/>
      <c r="FO22" s="27"/>
      <c r="FP22" s="27"/>
      <c r="FQ22" s="27"/>
      <c r="FR22" s="27"/>
      <c r="FS22" s="27"/>
      <c r="FT22" s="27"/>
      <c r="FU22" s="27"/>
      <c r="FV22" s="27"/>
      <c r="FW22" s="27"/>
      <c r="FX22" s="27"/>
      <c r="FY22" s="27"/>
      <c r="FZ22" s="27"/>
      <c r="GA22" s="27"/>
      <c r="GB22" s="27"/>
      <c r="GC22" s="27"/>
      <c r="GD22" s="27"/>
      <c r="GE22" s="27"/>
      <c r="GF22" s="27"/>
      <c r="GG22" s="27"/>
      <c r="GH22" s="27"/>
      <c r="GI22" s="27"/>
      <c r="GJ22" s="27"/>
      <c r="GK22" s="27"/>
      <c r="GL22" s="27"/>
      <c r="GM22" s="27"/>
      <c r="GN22" s="27"/>
      <c r="GO22" s="27"/>
      <c r="GP22" s="27"/>
      <c r="GQ22" s="27"/>
      <c r="GR22" s="27"/>
      <c r="GS22" s="27"/>
      <c r="GT22" s="27"/>
      <c r="GU22" s="27"/>
      <c r="GV22" s="27"/>
      <c r="GW22" s="27"/>
      <c r="GX22" s="27"/>
      <c r="GY22" s="27"/>
      <c r="GZ22" s="27"/>
      <c r="HA22" s="27"/>
      <c r="HB22" s="27"/>
      <c r="HC22" s="27"/>
      <c r="HD22" s="27"/>
      <c r="HE22" s="27"/>
      <c r="HF22" s="27"/>
      <c r="HG22" s="27"/>
      <c r="HH22" s="27"/>
      <c r="HI22" s="27"/>
      <c r="HJ22" s="27"/>
      <c r="HK22" s="27"/>
      <c r="HL22" s="27"/>
      <c r="HM22" s="27"/>
      <c r="HN22" s="27"/>
      <c r="HO22" s="27"/>
      <c r="HP22" s="27"/>
      <c r="HQ22" s="27"/>
      <c r="HR22" s="27"/>
      <c r="HS22" s="27"/>
      <c r="HT22" s="27"/>
      <c r="HU22" s="27"/>
      <c r="HV22" s="27"/>
      <c r="HW22" s="27"/>
      <c r="HX22" s="27"/>
      <c r="HY22" s="27"/>
      <c r="HZ22" s="27"/>
      <c r="IA22" s="27"/>
      <c r="IB22" s="27"/>
      <c r="IC22" s="27"/>
      <c r="ID22" s="27"/>
      <c r="IE22" s="27"/>
      <c r="IF22" s="27"/>
      <c r="IG22" s="27"/>
      <c r="IH22" s="27"/>
      <c r="II22" s="27"/>
      <c r="IJ22" s="27"/>
      <c r="IK22" s="27"/>
      <c r="IL22" s="27"/>
      <c r="IM22" s="27"/>
      <c r="IN22" s="27"/>
      <c r="IO22" s="27"/>
      <c r="IP22" s="27"/>
      <c r="IQ22" s="27"/>
      <c r="IR22" s="27"/>
      <c r="IS22" s="27"/>
      <c r="IT22" s="27"/>
      <c r="IU22" s="27"/>
      <c r="IV22" s="27"/>
      <c r="IW22" s="27"/>
    </row>
    <row r="23" spans="1:257" ht="15.75" customHeight="1" x14ac:dyDescent="0.3">
      <c r="A23" s="7" t="s">
        <v>83</v>
      </c>
      <c r="B23" s="7"/>
      <c r="C23" s="27"/>
      <c r="D23" s="74" t="str">
        <f>'02 Acts - Data'!B16</f>
        <v>АО "МОСИНЖПРОЕКТ"</v>
      </c>
      <c r="E23" s="74"/>
      <c r="F23" s="74"/>
      <c r="G23" s="1" t="s">
        <v>84</v>
      </c>
      <c r="H23" s="30" t="str">
        <f>'02 Acts - Data'!B7</f>
        <v>ИМ-19-4-Р-3.2Э-ЗП2</v>
      </c>
      <c r="I23" s="30"/>
      <c r="J23" s="30"/>
      <c r="K23" s="5"/>
      <c r="L23" s="27"/>
      <c r="M23" s="27"/>
      <c r="N23" s="27"/>
      <c r="O23" s="27"/>
      <c r="P23" s="27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  <c r="CK23" s="27"/>
      <c r="CL23" s="27"/>
      <c r="CM23" s="27"/>
      <c r="CN23" s="27"/>
      <c r="CO23" s="27"/>
      <c r="CP23" s="27"/>
      <c r="CQ23" s="27"/>
      <c r="CR23" s="27"/>
      <c r="CS23" s="27"/>
      <c r="CT23" s="27"/>
      <c r="CU23" s="27"/>
      <c r="CV23" s="27"/>
      <c r="CW23" s="27"/>
      <c r="CX23" s="27"/>
      <c r="CY23" s="27"/>
      <c r="CZ23" s="27"/>
      <c r="DA23" s="27"/>
      <c r="DB23" s="27"/>
      <c r="DC23" s="27"/>
      <c r="DD23" s="27"/>
      <c r="DE23" s="27"/>
      <c r="DF23" s="27"/>
      <c r="DG23" s="27"/>
      <c r="DH23" s="27"/>
      <c r="DI23" s="27"/>
      <c r="DJ23" s="27"/>
      <c r="DK23" s="27"/>
      <c r="DL23" s="27"/>
      <c r="DM23" s="27"/>
      <c r="DN23" s="27"/>
      <c r="DO23" s="27"/>
      <c r="DP23" s="27"/>
      <c r="DQ23" s="27"/>
      <c r="DR23" s="27"/>
      <c r="DS23" s="27"/>
      <c r="DT23" s="27"/>
      <c r="DU23" s="27"/>
      <c r="DV23" s="27"/>
      <c r="DW23" s="27"/>
      <c r="DX23" s="27"/>
      <c r="DY23" s="27"/>
      <c r="DZ23" s="27"/>
      <c r="EA23" s="27"/>
      <c r="EB23" s="27"/>
      <c r="EC23" s="27"/>
      <c r="ED23" s="27"/>
      <c r="EE23" s="27"/>
      <c r="EF23" s="27"/>
      <c r="EG23" s="27"/>
      <c r="EH23" s="27"/>
      <c r="EI23" s="27"/>
      <c r="EJ23" s="27"/>
      <c r="EK23" s="27"/>
      <c r="EL23" s="27"/>
      <c r="EM23" s="27"/>
      <c r="EN23" s="27"/>
      <c r="EO23" s="27"/>
      <c r="EP23" s="27"/>
      <c r="EQ23" s="27"/>
      <c r="ER23" s="27"/>
      <c r="ES23" s="27"/>
      <c r="ET23" s="27"/>
      <c r="EU23" s="27"/>
      <c r="EV23" s="27"/>
      <c r="EW23" s="27"/>
      <c r="EX23" s="27"/>
      <c r="EY23" s="27"/>
      <c r="EZ23" s="27"/>
      <c r="FA23" s="27"/>
      <c r="FB23" s="27"/>
      <c r="FC23" s="27"/>
      <c r="FD23" s="27"/>
      <c r="FE23" s="27"/>
      <c r="FF23" s="27"/>
      <c r="FG23" s="27"/>
      <c r="FH23" s="27"/>
      <c r="FI23" s="27"/>
      <c r="FJ23" s="27"/>
      <c r="FK23" s="27"/>
      <c r="FL23" s="27"/>
      <c r="FM23" s="27"/>
      <c r="FN23" s="27"/>
      <c r="FO23" s="27"/>
      <c r="FP23" s="27"/>
      <c r="FQ23" s="27"/>
      <c r="FR23" s="27"/>
      <c r="FS23" s="27"/>
      <c r="FT23" s="27"/>
      <c r="FU23" s="27"/>
      <c r="FV23" s="27"/>
      <c r="FW23" s="27"/>
      <c r="FX23" s="27"/>
      <c r="FY23" s="27"/>
      <c r="FZ23" s="27"/>
      <c r="GA23" s="27"/>
      <c r="GB23" s="27"/>
      <c r="GC23" s="27"/>
      <c r="GD23" s="27"/>
      <c r="GE23" s="27"/>
      <c r="GF23" s="27"/>
      <c r="GG23" s="27"/>
      <c r="GH23" s="27"/>
      <c r="GI23" s="27"/>
      <c r="GJ23" s="27"/>
      <c r="GK23" s="27"/>
      <c r="GL23" s="27"/>
      <c r="GM23" s="27"/>
      <c r="GN23" s="27"/>
      <c r="GO23" s="27"/>
      <c r="GP23" s="27"/>
      <c r="GQ23" s="27"/>
      <c r="GR23" s="27"/>
      <c r="GS23" s="27"/>
      <c r="GT23" s="27"/>
      <c r="GU23" s="27"/>
      <c r="GV23" s="27"/>
      <c r="GW23" s="27"/>
      <c r="GX23" s="27"/>
      <c r="GY23" s="27"/>
      <c r="GZ23" s="27"/>
      <c r="HA23" s="27"/>
      <c r="HB23" s="27"/>
      <c r="HC23" s="27"/>
      <c r="HD23" s="27"/>
      <c r="HE23" s="27"/>
      <c r="HF23" s="27"/>
      <c r="HG23" s="27"/>
      <c r="HH23" s="27"/>
      <c r="HI23" s="27"/>
      <c r="HJ23" s="27"/>
      <c r="HK23" s="27"/>
      <c r="HL23" s="27"/>
      <c r="HM23" s="27"/>
      <c r="HN23" s="27"/>
      <c r="HO23" s="27"/>
      <c r="HP23" s="27"/>
      <c r="HQ23" s="27"/>
      <c r="HR23" s="27"/>
      <c r="HS23" s="27"/>
      <c r="HT23" s="27"/>
      <c r="HU23" s="27"/>
      <c r="HV23" s="27"/>
      <c r="HW23" s="27"/>
      <c r="HX23" s="27"/>
      <c r="HY23" s="27"/>
      <c r="HZ23" s="27"/>
      <c r="IA23" s="27"/>
      <c r="IB23" s="27"/>
      <c r="IC23" s="27"/>
      <c r="ID23" s="27"/>
      <c r="IE23" s="27"/>
      <c r="IF23" s="27"/>
      <c r="IG23" s="27"/>
      <c r="IH23" s="27"/>
      <c r="II23" s="27"/>
      <c r="IJ23" s="27"/>
      <c r="IK23" s="27"/>
      <c r="IL23" s="27"/>
      <c r="IM23" s="27"/>
      <c r="IN23" s="27"/>
      <c r="IO23" s="27"/>
      <c r="IP23" s="27"/>
      <c r="IQ23" s="27"/>
      <c r="IR23" s="27"/>
      <c r="IS23" s="27"/>
      <c r="IT23" s="27"/>
      <c r="IU23" s="27"/>
      <c r="IV23" s="27"/>
      <c r="IW23" s="27"/>
    </row>
    <row r="24" spans="1:257" ht="15.75" customHeight="1" x14ac:dyDescent="0.3">
      <c r="A24" s="32"/>
      <c r="B24" s="32"/>
      <c r="C24" s="27"/>
      <c r="D24" s="1"/>
      <c r="E24" s="20"/>
      <c r="F24" s="20"/>
      <c r="G24" s="1"/>
      <c r="H24" s="27"/>
      <c r="I24" s="27"/>
      <c r="J24" s="5"/>
      <c r="K24" s="5"/>
      <c r="L24" s="27"/>
      <c r="M24" s="27"/>
      <c r="N24" s="27"/>
      <c r="O24" s="27"/>
      <c r="P24" s="27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  <c r="CK24" s="27"/>
      <c r="CL24" s="27"/>
      <c r="CM24" s="27"/>
      <c r="CN24" s="27"/>
      <c r="CO24" s="27"/>
      <c r="CP24" s="27"/>
      <c r="CQ24" s="27"/>
      <c r="CR24" s="27"/>
      <c r="CS24" s="27"/>
      <c r="CT24" s="27"/>
      <c r="CU24" s="27"/>
      <c r="CV24" s="27"/>
      <c r="CW24" s="27"/>
      <c r="CX24" s="27"/>
      <c r="CY24" s="27"/>
      <c r="CZ24" s="27"/>
      <c r="DA24" s="27"/>
      <c r="DB24" s="27"/>
      <c r="DC24" s="27"/>
      <c r="DD24" s="27"/>
      <c r="DE24" s="27"/>
      <c r="DF24" s="27"/>
      <c r="DG24" s="27"/>
      <c r="DH24" s="27"/>
      <c r="DI24" s="27"/>
      <c r="DJ24" s="27"/>
      <c r="DK24" s="27"/>
      <c r="DL24" s="27"/>
      <c r="DM24" s="27"/>
      <c r="DN24" s="27"/>
      <c r="DO24" s="27"/>
      <c r="DP24" s="27"/>
      <c r="DQ24" s="27"/>
      <c r="DR24" s="27"/>
      <c r="DS24" s="27"/>
      <c r="DT24" s="27"/>
      <c r="DU24" s="27"/>
      <c r="DV24" s="27"/>
      <c r="DW24" s="27"/>
      <c r="DX24" s="27"/>
      <c r="DY24" s="27"/>
      <c r="DZ24" s="27"/>
      <c r="EA24" s="27"/>
      <c r="EB24" s="27"/>
      <c r="EC24" s="27"/>
      <c r="ED24" s="27"/>
      <c r="EE24" s="27"/>
      <c r="EF24" s="27"/>
      <c r="EG24" s="27"/>
      <c r="EH24" s="27"/>
      <c r="EI24" s="27"/>
      <c r="EJ24" s="27"/>
      <c r="EK24" s="27"/>
      <c r="EL24" s="27"/>
      <c r="EM24" s="27"/>
      <c r="EN24" s="27"/>
      <c r="EO24" s="27"/>
      <c r="EP24" s="27"/>
      <c r="EQ24" s="27"/>
      <c r="ER24" s="27"/>
      <c r="ES24" s="27"/>
      <c r="ET24" s="27"/>
      <c r="EU24" s="27"/>
      <c r="EV24" s="27"/>
      <c r="EW24" s="27"/>
      <c r="EX24" s="27"/>
      <c r="EY24" s="27"/>
      <c r="EZ24" s="27"/>
      <c r="FA24" s="27"/>
      <c r="FB24" s="27"/>
      <c r="FC24" s="27"/>
      <c r="FD24" s="27"/>
      <c r="FE24" s="27"/>
      <c r="FF24" s="27"/>
      <c r="FG24" s="27"/>
      <c r="FH24" s="27"/>
      <c r="FI24" s="27"/>
      <c r="FJ24" s="27"/>
      <c r="FK24" s="27"/>
      <c r="FL24" s="27"/>
      <c r="FM24" s="27"/>
      <c r="FN24" s="27"/>
      <c r="FO24" s="27"/>
      <c r="FP24" s="27"/>
      <c r="FQ24" s="27"/>
      <c r="FR24" s="27"/>
      <c r="FS24" s="27"/>
      <c r="FT24" s="27"/>
      <c r="FU24" s="27"/>
      <c r="FV24" s="27"/>
      <c r="FW24" s="27"/>
      <c r="FX24" s="27"/>
      <c r="FY24" s="27"/>
      <c r="FZ24" s="27"/>
      <c r="GA24" s="27"/>
      <c r="GB24" s="27"/>
      <c r="GC24" s="27"/>
      <c r="GD24" s="27"/>
      <c r="GE24" s="27"/>
      <c r="GF24" s="27"/>
      <c r="GG24" s="27"/>
      <c r="GH24" s="27"/>
      <c r="GI24" s="27"/>
      <c r="GJ24" s="27"/>
      <c r="GK24" s="27"/>
      <c r="GL24" s="27"/>
      <c r="GM24" s="27"/>
      <c r="GN24" s="27"/>
      <c r="GO24" s="27"/>
      <c r="GP24" s="27"/>
      <c r="GQ24" s="27"/>
      <c r="GR24" s="27"/>
      <c r="GS24" s="27"/>
      <c r="GT24" s="27"/>
      <c r="GU24" s="27"/>
      <c r="GV24" s="27"/>
      <c r="GW24" s="27"/>
      <c r="GX24" s="27"/>
      <c r="GY24" s="27"/>
      <c r="GZ24" s="27"/>
      <c r="HA24" s="27"/>
      <c r="HB24" s="27"/>
      <c r="HC24" s="27"/>
      <c r="HD24" s="27"/>
      <c r="HE24" s="27"/>
      <c r="HF24" s="27"/>
      <c r="HG24" s="27"/>
      <c r="HH24" s="27"/>
      <c r="HI24" s="27"/>
      <c r="HJ24" s="27"/>
      <c r="HK24" s="27"/>
      <c r="HL24" s="27"/>
      <c r="HM24" s="27"/>
      <c r="HN24" s="27"/>
      <c r="HO24" s="27"/>
      <c r="HP24" s="27"/>
      <c r="HQ24" s="27"/>
      <c r="HR24" s="27"/>
      <c r="HS24" s="27"/>
      <c r="HT24" s="27"/>
      <c r="HU24" s="27"/>
      <c r="HV24" s="27"/>
      <c r="HW24" s="27"/>
      <c r="HX24" s="27"/>
      <c r="HY24" s="27"/>
      <c r="HZ24" s="27"/>
      <c r="IA24" s="27"/>
      <c r="IB24" s="27"/>
      <c r="IC24" s="27"/>
      <c r="ID24" s="27"/>
      <c r="IE24" s="27"/>
      <c r="IF24" s="27"/>
      <c r="IG24" s="27"/>
      <c r="IH24" s="27"/>
      <c r="II24" s="27"/>
      <c r="IJ24" s="27"/>
      <c r="IK24" s="27"/>
      <c r="IL24" s="27"/>
      <c r="IM24" s="27"/>
      <c r="IN24" s="27"/>
      <c r="IO24" s="27"/>
      <c r="IP24" s="27"/>
      <c r="IQ24" s="27"/>
      <c r="IR24" s="27"/>
      <c r="IS24" s="27"/>
      <c r="IT24" s="27"/>
      <c r="IU24" s="27"/>
      <c r="IV24" s="27"/>
      <c r="IW24" s="27"/>
    </row>
    <row r="25" spans="1:257" ht="32.25" customHeight="1" x14ac:dyDescent="0.3">
      <c r="A25" s="7" t="s">
        <v>116</v>
      </c>
      <c r="B25" s="32"/>
      <c r="C25" s="27"/>
      <c r="D25" s="1"/>
      <c r="E25" s="84" t="str">
        <f>'02 Acts - Data'!B26</f>
        <v>Труба "ПЭ тип "С" 110*6,3 техническая (L012) (паспорт  качества от 23.08.2021г.)</v>
      </c>
      <c r="F25" s="84"/>
      <c r="G25" s="84"/>
      <c r="H25" s="84"/>
      <c r="I25" s="84"/>
      <c r="J25" s="84"/>
      <c r="K25" s="5"/>
      <c r="L25" s="27"/>
      <c r="M25" s="27"/>
      <c r="N25" s="27"/>
      <c r="O25" s="27"/>
      <c r="P25" s="27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  <c r="CK25" s="27"/>
      <c r="CL25" s="27"/>
      <c r="CM25" s="27"/>
      <c r="CN25" s="27"/>
      <c r="CO25" s="27"/>
      <c r="CP25" s="27"/>
      <c r="CQ25" s="27"/>
      <c r="CR25" s="27"/>
      <c r="CS25" s="27"/>
      <c r="CT25" s="27"/>
      <c r="CU25" s="27"/>
      <c r="CV25" s="27"/>
      <c r="CW25" s="27"/>
      <c r="CX25" s="27"/>
      <c r="CY25" s="27"/>
      <c r="CZ25" s="27"/>
      <c r="DA25" s="27"/>
      <c r="DB25" s="27"/>
      <c r="DC25" s="27"/>
      <c r="DD25" s="27"/>
      <c r="DE25" s="27"/>
      <c r="DF25" s="27"/>
      <c r="DG25" s="27"/>
      <c r="DH25" s="27"/>
      <c r="DI25" s="27"/>
      <c r="DJ25" s="27"/>
      <c r="DK25" s="27"/>
      <c r="DL25" s="27"/>
      <c r="DM25" s="27"/>
      <c r="DN25" s="27"/>
      <c r="DO25" s="27"/>
      <c r="DP25" s="27"/>
      <c r="DQ25" s="27"/>
      <c r="DR25" s="27"/>
      <c r="DS25" s="27"/>
      <c r="DT25" s="27"/>
      <c r="DU25" s="27"/>
      <c r="DV25" s="27"/>
      <c r="DW25" s="27"/>
      <c r="DX25" s="27"/>
      <c r="DY25" s="27"/>
      <c r="DZ25" s="27"/>
      <c r="EA25" s="27"/>
      <c r="EB25" s="27"/>
      <c r="EC25" s="27"/>
      <c r="ED25" s="27"/>
      <c r="EE25" s="27"/>
      <c r="EF25" s="27"/>
      <c r="EG25" s="27"/>
      <c r="EH25" s="27"/>
      <c r="EI25" s="27"/>
      <c r="EJ25" s="27"/>
      <c r="EK25" s="27"/>
      <c r="EL25" s="27"/>
      <c r="EM25" s="27"/>
      <c r="EN25" s="27"/>
      <c r="EO25" s="27"/>
      <c r="EP25" s="27"/>
      <c r="EQ25" s="27"/>
      <c r="ER25" s="27"/>
      <c r="ES25" s="27"/>
      <c r="ET25" s="27"/>
      <c r="EU25" s="27"/>
      <c r="EV25" s="27"/>
      <c r="EW25" s="27"/>
      <c r="EX25" s="27"/>
      <c r="EY25" s="27"/>
      <c r="EZ25" s="27"/>
      <c r="FA25" s="27"/>
      <c r="FB25" s="27"/>
      <c r="FC25" s="27"/>
      <c r="FD25" s="27"/>
      <c r="FE25" s="27"/>
      <c r="FF25" s="27"/>
      <c r="FG25" s="27"/>
      <c r="FH25" s="27"/>
      <c r="FI25" s="27"/>
      <c r="FJ25" s="27"/>
      <c r="FK25" s="27"/>
      <c r="FL25" s="27"/>
      <c r="FM25" s="27"/>
      <c r="FN25" s="27"/>
      <c r="FO25" s="27"/>
      <c r="FP25" s="27"/>
      <c r="FQ25" s="27"/>
      <c r="FR25" s="27"/>
      <c r="FS25" s="27"/>
      <c r="FT25" s="27"/>
      <c r="FU25" s="27"/>
      <c r="FV25" s="27"/>
      <c r="FW25" s="27"/>
      <c r="FX25" s="27"/>
      <c r="FY25" s="27"/>
      <c r="FZ25" s="27"/>
      <c r="GA25" s="27"/>
      <c r="GB25" s="27"/>
      <c r="GC25" s="27"/>
      <c r="GD25" s="27"/>
      <c r="GE25" s="27"/>
      <c r="GF25" s="27"/>
      <c r="GG25" s="27"/>
      <c r="GH25" s="27"/>
      <c r="GI25" s="27"/>
      <c r="GJ25" s="27"/>
      <c r="GK25" s="27"/>
      <c r="GL25" s="27"/>
      <c r="GM25" s="27"/>
      <c r="GN25" s="27"/>
      <c r="GO25" s="27"/>
      <c r="GP25" s="27"/>
      <c r="GQ25" s="27"/>
      <c r="GR25" s="27"/>
      <c r="GS25" s="27"/>
      <c r="GT25" s="27"/>
      <c r="GU25" s="27"/>
      <c r="GV25" s="27"/>
      <c r="GW25" s="27"/>
      <c r="GX25" s="27"/>
      <c r="GY25" s="27"/>
      <c r="GZ25" s="27"/>
      <c r="HA25" s="27"/>
      <c r="HB25" s="27"/>
      <c r="HC25" s="27"/>
      <c r="HD25" s="27"/>
      <c r="HE25" s="27"/>
      <c r="HF25" s="27"/>
      <c r="HG25" s="27"/>
      <c r="HH25" s="27"/>
      <c r="HI25" s="27"/>
      <c r="HJ25" s="27"/>
      <c r="HK25" s="27"/>
      <c r="HL25" s="27"/>
      <c r="HM25" s="27"/>
      <c r="HN25" s="27"/>
      <c r="HO25" s="27"/>
      <c r="HP25" s="27"/>
      <c r="HQ25" s="27"/>
      <c r="HR25" s="27"/>
      <c r="HS25" s="27"/>
      <c r="HT25" s="27"/>
      <c r="HU25" s="27"/>
      <c r="HV25" s="27"/>
      <c r="HW25" s="27"/>
      <c r="HX25" s="27"/>
      <c r="HY25" s="27"/>
      <c r="HZ25" s="27"/>
      <c r="IA25" s="27"/>
      <c r="IB25" s="27"/>
      <c r="IC25" s="27"/>
      <c r="ID25" s="27"/>
      <c r="IE25" s="27"/>
      <c r="IF25" s="27"/>
      <c r="IG25" s="27"/>
      <c r="IH25" s="27"/>
      <c r="II25" s="27"/>
      <c r="IJ25" s="27"/>
      <c r="IK25" s="27"/>
      <c r="IL25" s="27"/>
      <c r="IM25" s="27"/>
      <c r="IN25" s="27"/>
      <c r="IO25" s="27"/>
      <c r="IP25" s="27"/>
      <c r="IQ25" s="27"/>
      <c r="IR25" s="27"/>
      <c r="IS25" s="27"/>
      <c r="IT25" s="27"/>
      <c r="IU25" s="27"/>
      <c r="IV25" s="27"/>
      <c r="IW25" s="27"/>
    </row>
    <row r="26" spans="1:257" ht="15.75" customHeight="1" x14ac:dyDescent="0.3">
      <c r="A26" s="32"/>
      <c r="B26" s="32"/>
      <c r="C26" s="27"/>
      <c r="D26" s="1"/>
      <c r="E26" s="20"/>
      <c r="F26" s="20"/>
      <c r="G26" s="1"/>
      <c r="H26" s="27"/>
      <c r="I26" s="27"/>
      <c r="J26" s="5"/>
      <c r="K26" s="5"/>
      <c r="L26" s="27"/>
      <c r="M26" s="27"/>
      <c r="N26" s="27"/>
      <c r="O26" s="27"/>
      <c r="P26" s="27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  <c r="CK26" s="27"/>
      <c r="CL26" s="27"/>
      <c r="CM26" s="27"/>
      <c r="CN26" s="27"/>
      <c r="CO26" s="27"/>
      <c r="CP26" s="27"/>
      <c r="CQ26" s="27"/>
      <c r="CR26" s="27"/>
      <c r="CS26" s="27"/>
      <c r="CT26" s="27"/>
      <c r="CU26" s="27"/>
      <c r="CV26" s="27"/>
      <c r="CW26" s="27"/>
      <c r="CX26" s="27"/>
      <c r="CY26" s="27"/>
      <c r="CZ26" s="27"/>
      <c r="DA26" s="27"/>
      <c r="DB26" s="27"/>
      <c r="DC26" s="27"/>
      <c r="DD26" s="27"/>
      <c r="DE26" s="27"/>
      <c r="DF26" s="27"/>
      <c r="DG26" s="27"/>
      <c r="DH26" s="27"/>
      <c r="DI26" s="27"/>
      <c r="DJ26" s="27"/>
      <c r="DK26" s="27"/>
      <c r="DL26" s="27"/>
      <c r="DM26" s="27"/>
      <c r="DN26" s="27"/>
      <c r="DO26" s="27"/>
      <c r="DP26" s="27"/>
      <c r="DQ26" s="27"/>
      <c r="DR26" s="27"/>
      <c r="DS26" s="27"/>
      <c r="DT26" s="27"/>
      <c r="DU26" s="27"/>
      <c r="DV26" s="27"/>
      <c r="DW26" s="27"/>
      <c r="DX26" s="27"/>
      <c r="DY26" s="27"/>
      <c r="DZ26" s="27"/>
      <c r="EA26" s="27"/>
      <c r="EB26" s="27"/>
      <c r="EC26" s="27"/>
      <c r="ED26" s="27"/>
      <c r="EE26" s="27"/>
      <c r="EF26" s="27"/>
      <c r="EG26" s="27"/>
      <c r="EH26" s="27"/>
      <c r="EI26" s="27"/>
      <c r="EJ26" s="27"/>
      <c r="EK26" s="27"/>
      <c r="EL26" s="27"/>
      <c r="EM26" s="27"/>
      <c r="EN26" s="27"/>
      <c r="EO26" s="27"/>
      <c r="EP26" s="27"/>
      <c r="EQ26" s="27"/>
      <c r="ER26" s="27"/>
      <c r="ES26" s="27"/>
      <c r="ET26" s="27"/>
      <c r="EU26" s="27"/>
      <c r="EV26" s="27"/>
      <c r="EW26" s="27"/>
      <c r="EX26" s="27"/>
      <c r="EY26" s="27"/>
      <c r="EZ26" s="27"/>
      <c r="FA26" s="27"/>
      <c r="FB26" s="27"/>
      <c r="FC26" s="27"/>
      <c r="FD26" s="27"/>
      <c r="FE26" s="27"/>
      <c r="FF26" s="27"/>
      <c r="FG26" s="27"/>
      <c r="FH26" s="27"/>
      <c r="FI26" s="27"/>
      <c r="FJ26" s="27"/>
      <c r="FK26" s="27"/>
      <c r="FL26" s="27"/>
      <c r="FM26" s="27"/>
      <c r="FN26" s="27"/>
      <c r="FO26" s="27"/>
      <c r="FP26" s="27"/>
      <c r="FQ26" s="27"/>
      <c r="FR26" s="27"/>
      <c r="FS26" s="27"/>
      <c r="FT26" s="27"/>
      <c r="FU26" s="27"/>
      <c r="FV26" s="27"/>
      <c r="FW26" s="27"/>
      <c r="FX26" s="27"/>
      <c r="FY26" s="27"/>
      <c r="FZ26" s="27"/>
      <c r="GA26" s="27"/>
      <c r="GB26" s="27"/>
      <c r="GC26" s="27"/>
      <c r="GD26" s="27"/>
      <c r="GE26" s="27"/>
      <c r="GF26" s="27"/>
      <c r="GG26" s="27"/>
      <c r="GH26" s="27"/>
      <c r="GI26" s="27"/>
      <c r="GJ26" s="27"/>
      <c r="GK26" s="27"/>
      <c r="GL26" s="27"/>
      <c r="GM26" s="27"/>
      <c r="GN26" s="27"/>
      <c r="GO26" s="27"/>
      <c r="GP26" s="27"/>
      <c r="GQ26" s="27"/>
      <c r="GR26" s="27"/>
      <c r="GS26" s="27"/>
      <c r="GT26" s="27"/>
      <c r="GU26" s="27"/>
      <c r="GV26" s="27"/>
      <c r="GW26" s="27"/>
      <c r="GX26" s="27"/>
      <c r="GY26" s="27"/>
      <c r="GZ26" s="27"/>
      <c r="HA26" s="27"/>
      <c r="HB26" s="27"/>
      <c r="HC26" s="27"/>
      <c r="HD26" s="27"/>
      <c r="HE26" s="27"/>
      <c r="HF26" s="27"/>
      <c r="HG26" s="27"/>
      <c r="HH26" s="27"/>
      <c r="HI26" s="27"/>
      <c r="HJ26" s="27"/>
      <c r="HK26" s="27"/>
      <c r="HL26" s="27"/>
      <c r="HM26" s="27"/>
      <c r="HN26" s="27"/>
      <c r="HO26" s="27"/>
      <c r="HP26" s="27"/>
      <c r="HQ26" s="27"/>
      <c r="HR26" s="27"/>
      <c r="HS26" s="27"/>
      <c r="HT26" s="27"/>
      <c r="HU26" s="27"/>
      <c r="HV26" s="27"/>
      <c r="HW26" s="27"/>
      <c r="HX26" s="27"/>
      <c r="HY26" s="27"/>
      <c r="HZ26" s="27"/>
      <c r="IA26" s="27"/>
      <c r="IB26" s="27"/>
      <c r="IC26" s="27"/>
      <c r="ID26" s="27"/>
      <c r="IE26" s="27"/>
      <c r="IF26" s="27"/>
      <c r="IG26" s="27"/>
      <c r="IH26" s="27"/>
      <c r="II26" s="27"/>
      <c r="IJ26" s="27"/>
      <c r="IK26" s="27"/>
      <c r="IL26" s="27"/>
      <c r="IM26" s="27"/>
      <c r="IN26" s="27"/>
      <c r="IO26" s="27"/>
      <c r="IP26" s="27"/>
      <c r="IQ26" s="27"/>
      <c r="IR26" s="27"/>
      <c r="IS26" s="27"/>
      <c r="IT26" s="27"/>
      <c r="IU26" s="27"/>
      <c r="IV26" s="27"/>
      <c r="IW26" s="27"/>
    </row>
    <row r="27" spans="1:257" ht="15.75" customHeight="1" x14ac:dyDescent="0.3">
      <c r="A27" s="7" t="s">
        <v>86</v>
      </c>
      <c r="B27" s="32"/>
      <c r="C27" s="27"/>
      <c r="D27" s="79" t="str">
        <f>'02 Acts - Data'!B8</f>
        <v>01.06.2024 г.</v>
      </c>
      <c r="E27" s="79"/>
      <c r="F27" s="79"/>
      <c r="G27" s="1"/>
      <c r="H27" s="20"/>
      <c r="I27" s="20"/>
      <c r="J27" s="5"/>
      <c r="K27" s="5"/>
      <c r="L27" s="27"/>
      <c r="M27" s="27"/>
      <c r="N27" s="27"/>
      <c r="O27" s="27"/>
      <c r="P27" s="27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  <c r="CK27" s="27"/>
      <c r="CL27" s="27"/>
      <c r="CM27" s="27"/>
      <c r="CN27" s="27"/>
      <c r="CO27" s="27"/>
      <c r="CP27" s="27"/>
      <c r="CQ27" s="27"/>
      <c r="CR27" s="27"/>
      <c r="CS27" s="27"/>
      <c r="CT27" s="27"/>
      <c r="CU27" s="27"/>
      <c r="CV27" s="27"/>
      <c r="CW27" s="27"/>
      <c r="CX27" s="27"/>
      <c r="CY27" s="27"/>
      <c r="CZ27" s="27"/>
      <c r="DA27" s="27"/>
      <c r="DB27" s="27"/>
      <c r="DC27" s="27"/>
      <c r="DD27" s="27"/>
      <c r="DE27" s="27"/>
      <c r="DF27" s="27"/>
      <c r="DG27" s="27"/>
      <c r="DH27" s="27"/>
      <c r="DI27" s="27"/>
      <c r="DJ27" s="27"/>
      <c r="DK27" s="27"/>
      <c r="DL27" s="27"/>
      <c r="DM27" s="27"/>
      <c r="DN27" s="27"/>
      <c r="DO27" s="27"/>
      <c r="DP27" s="27"/>
      <c r="DQ27" s="27"/>
      <c r="DR27" s="27"/>
      <c r="DS27" s="27"/>
      <c r="DT27" s="27"/>
      <c r="DU27" s="27"/>
      <c r="DV27" s="27"/>
      <c r="DW27" s="27"/>
      <c r="DX27" s="27"/>
      <c r="DY27" s="27"/>
      <c r="DZ27" s="27"/>
      <c r="EA27" s="27"/>
      <c r="EB27" s="27"/>
      <c r="EC27" s="27"/>
      <c r="ED27" s="27"/>
      <c r="EE27" s="27"/>
      <c r="EF27" s="27"/>
      <c r="EG27" s="27"/>
      <c r="EH27" s="27"/>
      <c r="EI27" s="27"/>
      <c r="EJ27" s="27"/>
      <c r="EK27" s="27"/>
      <c r="EL27" s="27"/>
      <c r="EM27" s="27"/>
      <c r="EN27" s="27"/>
      <c r="EO27" s="27"/>
      <c r="EP27" s="27"/>
      <c r="EQ27" s="27"/>
      <c r="ER27" s="27"/>
      <c r="ES27" s="27"/>
      <c r="ET27" s="27"/>
      <c r="EU27" s="27"/>
      <c r="EV27" s="27"/>
      <c r="EW27" s="27"/>
      <c r="EX27" s="27"/>
      <c r="EY27" s="27"/>
      <c r="EZ27" s="27"/>
      <c r="FA27" s="27"/>
      <c r="FB27" s="27"/>
      <c r="FC27" s="27"/>
      <c r="FD27" s="27"/>
      <c r="FE27" s="27"/>
      <c r="FF27" s="27"/>
      <c r="FG27" s="27"/>
      <c r="FH27" s="27"/>
      <c r="FI27" s="27"/>
      <c r="FJ27" s="27"/>
      <c r="FK27" s="27"/>
      <c r="FL27" s="27"/>
      <c r="FM27" s="27"/>
      <c r="FN27" s="27"/>
      <c r="FO27" s="27"/>
      <c r="FP27" s="27"/>
      <c r="FQ27" s="27"/>
      <c r="FR27" s="27"/>
      <c r="FS27" s="27"/>
      <c r="FT27" s="27"/>
      <c r="FU27" s="27"/>
      <c r="FV27" s="27"/>
      <c r="FW27" s="27"/>
      <c r="FX27" s="27"/>
      <c r="FY27" s="27"/>
      <c r="FZ27" s="27"/>
      <c r="GA27" s="27"/>
      <c r="GB27" s="27"/>
      <c r="GC27" s="27"/>
      <c r="GD27" s="27"/>
      <c r="GE27" s="27"/>
      <c r="GF27" s="27"/>
      <c r="GG27" s="27"/>
      <c r="GH27" s="27"/>
      <c r="GI27" s="27"/>
      <c r="GJ27" s="27"/>
      <c r="GK27" s="27"/>
      <c r="GL27" s="27"/>
      <c r="GM27" s="27"/>
      <c r="GN27" s="27"/>
      <c r="GO27" s="27"/>
      <c r="GP27" s="27"/>
      <c r="GQ27" s="27"/>
      <c r="GR27" s="27"/>
      <c r="GS27" s="27"/>
      <c r="GT27" s="27"/>
      <c r="GU27" s="27"/>
      <c r="GV27" s="27"/>
      <c r="GW27" s="27"/>
      <c r="GX27" s="27"/>
      <c r="GY27" s="27"/>
      <c r="GZ27" s="27"/>
      <c r="HA27" s="27"/>
      <c r="HB27" s="27"/>
      <c r="HC27" s="27"/>
      <c r="HD27" s="27"/>
      <c r="HE27" s="27"/>
      <c r="HF27" s="27"/>
      <c r="HG27" s="27"/>
      <c r="HH27" s="27"/>
      <c r="HI27" s="27"/>
      <c r="HJ27" s="27"/>
      <c r="HK27" s="27"/>
      <c r="HL27" s="27"/>
      <c r="HM27" s="27"/>
      <c r="HN27" s="27"/>
      <c r="HO27" s="27"/>
      <c r="HP27" s="27"/>
      <c r="HQ27" s="27"/>
      <c r="HR27" s="27"/>
      <c r="HS27" s="27"/>
      <c r="HT27" s="27"/>
      <c r="HU27" s="27"/>
      <c r="HV27" s="27"/>
      <c r="HW27" s="27"/>
      <c r="HX27" s="27"/>
      <c r="HY27" s="27"/>
      <c r="HZ27" s="27"/>
      <c r="IA27" s="27"/>
      <c r="IB27" s="27"/>
      <c r="IC27" s="27"/>
      <c r="ID27" s="27"/>
      <c r="IE27" s="27"/>
      <c r="IF27" s="27"/>
      <c r="IG27" s="27"/>
      <c r="IH27" s="27"/>
      <c r="II27" s="27"/>
      <c r="IJ27" s="27"/>
      <c r="IK27" s="27"/>
      <c r="IL27" s="27"/>
      <c r="IM27" s="27"/>
      <c r="IN27" s="27"/>
      <c r="IO27" s="27"/>
      <c r="IP27" s="27"/>
      <c r="IQ27" s="27"/>
      <c r="IR27" s="27"/>
      <c r="IS27" s="27"/>
      <c r="IT27" s="27"/>
      <c r="IU27" s="27"/>
      <c r="IV27" s="27"/>
      <c r="IW27" s="27"/>
    </row>
    <row r="28" spans="1:257" ht="15.75" customHeight="1" x14ac:dyDescent="0.3">
      <c r="A28" s="32"/>
      <c r="B28" s="32"/>
      <c r="C28" s="27"/>
      <c r="D28" s="20"/>
      <c r="E28" s="5"/>
      <c r="F28" s="5"/>
      <c r="G28" s="5"/>
      <c r="H28" s="5"/>
      <c r="I28" s="5"/>
      <c r="J28" s="5"/>
      <c r="K28" s="5"/>
      <c r="L28" s="27"/>
      <c r="M28" s="27"/>
      <c r="N28" s="27"/>
      <c r="O28" s="27"/>
      <c r="P28" s="27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  <c r="CK28" s="27"/>
      <c r="CL28" s="27"/>
      <c r="CM28" s="27"/>
      <c r="CN28" s="27"/>
      <c r="CO28" s="27"/>
      <c r="CP28" s="27"/>
      <c r="CQ28" s="27"/>
      <c r="CR28" s="27"/>
      <c r="CS28" s="27"/>
      <c r="CT28" s="27"/>
      <c r="CU28" s="27"/>
      <c r="CV28" s="27"/>
      <c r="CW28" s="27"/>
      <c r="CX28" s="27"/>
      <c r="CY28" s="27"/>
      <c r="CZ28" s="27"/>
      <c r="DA28" s="27"/>
      <c r="DB28" s="27"/>
      <c r="DC28" s="27"/>
      <c r="DD28" s="27"/>
      <c r="DE28" s="27"/>
      <c r="DF28" s="27"/>
      <c r="DG28" s="27"/>
      <c r="DH28" s="27"/>
      <c r="DI28" s="27"/>
      <c r="DJ28" s="27"/>
      <c r="DK28" s="27"/>
      <c r="DL28" s="27"/>
      <c r="DM28" s="27"/>
      <c r="DN28" s="27"/>
      <c r="DO28" s="27"/>
      <c r="DP28" s="27"/>
      <c r="DQ28" s="27"/>
      <c r="DR28" s="27"/>
      <c r="DS28" s="27"/>
      <c r="DT28" s="27"/>
      <c r="DU28" s="27"/>
      <c r="DV28" s="27"/>
      <c r="DW28" s="27"/>
      <c r="DX28" s="27"/>
      <c r="DY28" s="27"/>
      <c r="DZ28" s="27"/>
      <c r="EA28" s="27"/>
      <c r="EB28" s="27"/>
      <c r="EC28" s="27"/>
      <c r="ED28" s="27"/>
      <c r="EE28" s="27"/>
      <c r="EF28" s="27"/>
      <c r="EG28" s="27"/>
      <c r="EH28" s="27"/>
      <c r="EI28" s="27"/>
      <c r="EJ28" s="27"/>
      <c r="EK28" s="27"/>
      <c r="EL28" s="27"/>
      <c r="EM28" s="27"/>
      <c r="EN28" s="27"/>
      <c r="EO28" s="27"/>
      <c r="EP28" s="27"/>
      <c r="EQ28" s="27"/>
      <c r="ER28" s="27"/>
      <c r="ES28" s="27"/>
      <c r="ET28" s="27"/>
      <c r="EU28" s="27"/>
      <c r="EV28" s="27"/>
      <c r="EW28" s="27"/>
      <c r="EX28" s="27"/>
      <c r="EY28" s="27"/>
      <c r="EZ28" s="27"/>
      <c r="FA28" s="27"/>
      <c r="FB28" s="27"/>
      <c r="FC28" s="27"/>
      <c r="FD28" s="27"/>
      <c r="FE28" s="27"/>
      <c r="FF28" s="27"/>
      <c r="FG28" s="27"/>
      <c r="FH28" s="27"/>
      <c r="FI28" s="27"/>
      <c r="FJ28" s="27"/>
      <c r="FK28" s="27"/>
      <c r="FL28" s="27"/>
      <c r="FM28" s="27"/>
      <c r="FN28" s="27"/>
      <c r="FO28" s="27"/>
      <c r="FP28" s="27"/>
      <c r="FQ28" s="27"/>
      <c r="FR28" s="27"/>
      <c r="FS28" s="27"/>
      <c r="FT28" s="27"/>
      <c r="FU28" s="27"/>
      <c r="FV28" s="27"/>
      <c r="FW28" s="27"/>
      <c r="FX28" s="27"/>
      <c r="FY28" s="27"/>
      <c r="FZ28" s="27"/>
      <c r="GA28" s="27"/>
      <c r="GB28" s="27"/>
      <c r="GC28" s="27"/>
      <c r="GD28" s="27"/>
      <c r="GE28" s="27"/>
      <c r="GF28" s="27"/>
      <c r="GG28" s="27"/>
      <c r="GH28" s="27"/>
      <c r="GI28" s="27"/>
      <c r="GJ28" s="27"/>
      <c r="GK28" s="27"/>
      <c r="GL28" s="27"/>
      <c r="GM28" s="27"/>
      <c r="GN28" s="27"/>
      <c r="GO28" s="27"/>
      <c r="GP28" s="27"/>
      <c r="GQ28" s="27"/>
      <c r="GR28" s="27"/>
      <c r="GS28" s="27"/>
      <c r="GT28" s="27"/>
      <c r="GU28" s="27"/>
      <c r="GV28" s="27"/>
      <c r="GW28" s="27"/>
      <c r="GX28" s="27"/>
      <c r="GY28" s="27"/>
      <c r="GZ28" s="27"/>
      <c r="HA28" s="27"/>
      <c r="HB28" s="27"/>
      <c r="HC28" s="27"/>
      <c r="HD28" s="27"/>
      <c r="HE28" s="27"/>
      <c r="HF28" s="27"/>
      <c r="HG28" s="27"/>
      <c r="HH28" s="27"/>
      <c r="HI28" s="27"/>
      <c r="HJ28" s="27"/>
      <c r="HK28" s="27"/>
      <c r="HL28" s="27"/>
      <c r="HM28" s="27"/>
      <c r="HN28" s="27"/>
      <c r="HO28" s="27"/>
      <c r="HP28" s="27"/>
      <c r="HQ28" s="27"/>
      <c r="HR28" s="27"/>
      <c r="HS28" s="27"/>
      <c r="HT28" s="27"/>
      <c r="HU28" s="27"/>
      <c r="HV28" s="27"/>
      <c r="HW28" s="27"/>
      <c r="HX28" s="27"/>
      <c r="HY28" s="27"/>
      <c r="HZ28" s="27"/>
      <c r="IA28" s="27"/>
      <c r="IB28" s="27"/>
      <c r="IC28" s="27"/>
      <c r="ID28" s="27"/>
      <c r="IE28" s="27"/>
      <c r="IF28" s="27"/>
      <c r="IG28" s="27"/>
      <c r="IH28" s="27"/>
      <c r="II28" s="27"/>
      <c r="IJ28" s="27"/>
      <c r="IK28" s="27"/>
      <c r="IL28" s="27"/>
      <c r="IM28" s="27"/>
      <c r="IN28" s="27"/>
      <c r="IO28" s="27"/>
      <c r="IP28" s="27"/>
      <c r="IQ28" s="27"/>
      <c r="IR28" s="27"/>
      <c r="IS28" s="27"/>
      <c r="IT28" s="27"/>
      <c r="IU28" s="27"/>
      <c r="IV28" s="27"/>
      <c r="IW28" s="27"/>
    </row>
    <row r="29" spans="1:257" ht="15.75" customHeight="1" x14ac:dyDescent="0.3">
      <c r="A29" s="7" t="s">
        <v>87</v>
      </c>
      <c r="B29" s="32"/>
      <c r="C29" s="27"/>
      <c r="D29" s="79" t="str">
        <f>'02 Acts - Data'!B9</f>
        <v>03.06.2024 г.</v>
      </c>
      <c r="E29" s="79"/>
      <c r="F29" s="79"/>
      <c r="G29" s="5"/>
      <c r="H29" s="5"/>
      <c r="I29" s="5"/>
      <c r="J29" s="5"/>
      <c r="K29" s="5"/>
      <c r="L29" s="27"/>
      <c r="M29" s="27"/>
      <c r="N29" s="27"/>
      <c r="O29" s="27"/>
      <c r="P29" s="27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  <c r="CK29" s="27"/>
      <c r="CL29" s="27"/>
      <c r="CM29" s="27"/>
      <c r="CN29" s="27"/>
      <c r="CO29" s="27"/>
      <c r="CP29" s="27"/>
      <c r="CQ29" s="27"/>
      <c r="CR29" s="27"/>
      <c r="CS29" s="27"/>
      <c r="CT29" s="27"/>
      <c r="CU29" s="27"/>
      <c r="CV29" s="27"/>
      <c r="CW29" s="27"/>
      <c r="CX29" s="27"/>
      <c r="CY29" s="27"/>
      <c r="CZ29" s="27"/>
      <c r="DA29" s="27"/>
      <c r="DB29" s="27"/>
      <c r="DC29" s="27"/>
      <c r="DD29" s="27"/>
      <c r="DE29" s="27"/>
      <c r="DF29" s="27"/>
      <c r="DG29" s="27"/>
      <c r="DH29" s="27"/>
      <c r="DI29" s="27"/>
      <c r="DJ29" s="27"/>
      <c r="DK29" s="27"/>
      <c r="DL29" s="27"/>
      <c r="DM29" s="27"/>
      <c r="DN29" s="27"/>
      <c r="DO29" s="27"/>
      <c r="DP29" s="27"/>
      <c r="DQ29" s="27"/>
      <c r="DR29" s="27"/>
      <c r="DS29" s="27"/>
      <c r="DT29" s="27"/>
      <c r="DU29" s="27"/>
      <c r="DV29" s="27"/>
      <c r="DW29" s="27"/>
      <c r="DX29" s="27"/>
      <c r="DY29" s="27"/>
      <c r="DZ29" s="27"/>
      <c r="EA29" s="27"/>
      <c r="EB29" s="27"/>
      <c r="EC29" s="27"/>
      <c r="ED29" s="27"/>
      <c r="EE29" s="27"/>
      <c r="EF29" s="27"/>
      <c r="EG29" s="27"/>
      <c r="EH29" s="27"/>
      <c r="EI29" s="27"/>
      <c r="EJ29" s="27"/>
      <c r="EK29" s="27"/>
      <c r="EL29" s="27"/>
      <c r="EM29" s="27"/>
      <c r="EN29" s="27"/>
      <c r="EO29" s="27"/>
      <c r="EP29" s="27"/>
      <c r="EQ29" s="27"/>
      <c r="ER29" s="27"/>
      <c r="ES29" s="27"/>
      <c r="ET29" s="27"/>
      <c r="EU29" s="27"/>
      <c r="EV29" s="27"/>
      <c r="EW29" s="27"/>
      <c r="EX29" s="27"/>
      <c r="EY29" s="27"/>
      <c r="EZ29" s="27"/>
      <c r="FA29" s="27"/>
      <c r="FB29" s="27"/>
      <c r="FC29" s="27"/>
      <c r="FD29" s="27"/>
      <c r="FE29" s="27"/>
      <c r="FF29" s="27"/>
      <c r="FG29" s="27"/>
      <c r="FH29" s="27"/>
      <c r="FI29" s="27"/>
      <c r="FJ29" s="27"/>
      <c r="FK29" s="27"/>
      <c r="FL29" s="27"/>
      <c r="FM29" s="27"/>
      <c r="FN29" s="27"/>
      <c r="FO29" s="27"/>
      <c r="FP29" s="27"/>
      <c r="FQ29" s="27"/>
      <c r="FR29" s="27"/>
      <c r="FS29" s="27"/>
      <c r="FT29" s="27"/>
      <c r="FU29" s="27"/>
      <c r="FV29" s="27"/>
      <c r="FW29" s="27"/>
      <c r="FX29" s="27"/>
      <c r="FY29" s="27"/>
      <c r="FZ29" s="27"/>
      <c r="GA29" s="27"/>
      <c r="GB29" s="27"/>
      <c r="GC29" s="27"/>
      <c r="GD29" s="27"/>
      <c r="GE29" s="27"/>
      <c r="GF29" s="27"/>
      <c r="GG29" s="27"/>
      <c r="GH29" s="27"/>
      <c r="GI29" s="27"/>
      <c r="GJ29" s="27"/>
      <c r="GK29" s="27"/>
      <c r="GL29" s="27"/>
      <c r="GM29" s="27"/>
      <c r="GN29" s="27"/>
      <c r="GO29" s="27"/>
      <c r="GP29" s="27"/>
      <c r="GQ29" s="27"/>
      <c r="GR29" s="27"/>
      <c r="GS29" s="27"/>
      <c r="GT29" s="27"/>
      <c r="GU29" s="27"/>
      <c r="GV29" s="27"/>
      <c r="GW29" s="27"/>
      <c r="GX29" s="27"/>
      <c r="GY29" s="27"/>
      <c r="GZ29" s="27"/>
      <c r="HA29" s="27"/>
      <c r="HB29" s="27"/>
      <c r="HC29" s="27"/>
      <c r="HD29" s="27"/>
      <c r="HE29" s="27"/>
      <c r="HF29" s="27"/>
      <c r="HG29" s="27"/>
      <c r="HH29" s="27"/>
      <c r="HI29" s="27"/>
      <c r="HJ29" s="27"/>
      <c r="HK29" s="27"/>
      <c r="HL29" s="27"/>
      <c r="HM29" s="27"/>
      <c r="HN29" s="27"/>
      <c r="HO29" s="27"/>
      <c r="HP29" s="27"/>
      <c r="HQ29" s="27"/>
      <c r="HR29" s="27"/>
      <c r="HS29" s="27"/>
      <c r="HT29" s="27"/>
      <c r="HU29" s="27"/>
      <c r="HV29" s="27"/>
      <c r="HW29" s="27"/>
      <c r="HX29" s="27"/>
      <c r="HY29" s="27"/>
      <c r="HZ29" s="27"/>
      <c r="IA29" s="27"/>
      <c r="IB29" s="27"/>
      <c r="IC29" s="27"/>
      <c r="ID29" s="27"/>
      <c r="IE29" s="27"/>
      <c r="IF29" s="27"/>
      <c r="IG29" s="27"/>
      <c r="IH29" s="27"/>
      <c r="II29" s="27"/>
      <c r="IJ29" s="27"/>
      <c r="IK29" s="27"/>
      <c r="IL29" s="27"/>
      <c r="IM29" s="27"/>
      <c r="IN29" s="27"/>
      <c r="IO29" s="27"/>
      <c r="IP29" s="27"/>
      <c r="IQ29" s="27"/>
      <c r="IR29" s="27"/>
      <c r="IS29" s="27"/>
      <c r="IT29" s="27"/>
      <c r="IU29" s="27"/>
      <c r="IV29" s="27"/>
      <c r="IW29" s="27"/>
    </row>
    <row r="30" spans="1:257" ht="15.75" customHeight="1" x14ac:dyDescent="0.3">
      <c r="A30" s="32"/>
      <c r="B30" s="32"/>
      <c r="C30" s="27"/>
      <c r="D30" s="5"/>
      <c r="E30" s="5"/>
      <c r="F30" s="5"/>
      <c r="G30" s="5"/>
      <c r="H30" s="5"/>
      <c r="I30" s="5"/>
      <c r="J30" s="5"/>
      <c r="K30" s="5"/>
      <c r="L30" s="27"/>
      <c r="M30" s="27"/>
      <c r="N30" s="27"/>
      <c r="O30" s="27"/>
      <c r="P30" s="27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  <c r="CK30" s="27"/>
      <c r="CL30" s="27"/>
      <c r="CM30" s="27"/>
      <c r="CN30" s="27"/>
      <c r="CO30" s="27"/>
      <c r="CP30" s="27"/>
      <c r="CQ30" s="27"/>
      <c r="CR30" s="27"/>
      <c r="CS30" s="27"/>
      <c r="CT30" s="27"/>
      <c r="CU30" s="27"/>
      <c r="CV30" s="27"/>
      <c r="CW30" s="27"/>
      <c r="CX30" s="27"/>
      <c r="CY30" s="27"/>
      <c r="CZ30" s="27"/>
      <c r="DA30" s="27"/>
      <c r="DB30" s="27"/>
      <c r="DC30" s="27"/>
      <c r="DD30" s="27"/>
      <c r="DE30" s="27"/>
      <c r="DF30" s="27"/>
      <c r="DG30" s="27"/>
      <c r="DH30" s="27"/>
      <c r="DI30" s="27"/>
      <c r="DJ30" s="27"/>
      <c r="DK30" s="27"/>
      <c r="DL30" s="27"/>
      <c r="DM30" s="27"/>
      <c r="DN30" s="27"/>
      <c r="DO30" s="27"/>
      <c r="DP30" s="27"/>
      <c r="DQ30" s="27"/>
      <c r="DR30" s="27"/>
      <c r="DS30" s="27"/>
      <c r="DT30" s="27"/>
      <c r="DU30" s="27"/>
      <c r="DV30" s="27"/>
      <c r="DW30" s="27"/>
      <c r="DX30" s="27"/>
      <c r="DY30" s="27"/>
      <c r="DZ30" s="27"/>
      <c r="EA30" s="27"/>
      <c r="EB30" s="27"/>
      <c r="EC30" s="27"/>
      <c r="ED30" s="27"/>
      <c r="EE30" s="27"/>
      <c r="EF30" s="27"/>
      <c r="EG30" s="27"/>
      <c r="EH30" s="27"/>
      <c r="EI30" s="27"/>
      <c r="EJ30" s="27"/>
      <c r="EK30" s="27"/>
      <c r="EL30" s="27"/>
      <c r="EM30" s="27"/>
      <c r="EN30" s="27"/>
      <c r="EO30" s="27"/>
      <c r="EP30" s="27"/>
      <c r="EQ30" s="27"/>
      <c r="ER30" s="27"/>
      <c r="ES30" s="27"/>
      <c r="ET30" s="27"/>
      <c r="EU30" s="27"/>
      <c r="EV30" s="27"/>
      <c r="EW30" s="27"/>
      <c r="EX30" s="27"/>
      <c r="EY30" s="27"/>
      <c r="EZ30" s="27"/>
      <c r="FA30" s="27"/>
      <c r="FB30" s="27"/>
      <c r="FC30" s="27"/>
      <c r="FD30" s="27"/>
      <c r="FE30" s="27"/>
      <c r="FF30" s="27"/>
      <c r="FG30" s="27"/>
      <c r="FH30" s="27"/>
      <c r="FI30" s="27"/>
      <c r="FJ30" s="27"/>
      <c r="FK30" s="27"/>
      <c r="FL30" s="27"/>
      <c r="FM30" s="27"/>
      <c r="FN30" s="27"/>
      <c r="FO30" s="27"/>
      <c r="FP30" s="27"/>
      <c r="FQ30" s="27"/>
      <c r="FR30" s="27"/>
      <c r="FS30" s="27"/>
      <c r="FT30" s="27"/>
      <c r="FU30" s="27"/>
      <c r="FV30" s="27"/>
      <c r="FW30" s="27"/>
      <c r="FX30" s="27"/>
      <c r="FY30" s="27"/>
      <c r="FZ30" s="27"/>
      <c r="GA30" s="27"/>
      <c r="GB30" s="27"/>
      <c r="GC30" s="27"/>
      <c r="GD30" s="27"/>
      <c r="GE30" s="27"/>
      <c r="GF30" s="27"/>
      <c r="GG30" s="27"/>
      <c r="GH30" s="27"/>
      <c r="GI30" s="27"/>
      <c r="GJ30" s="27"/>
      <c r="GK30" s="27"/>
      <c r="GL30" s="27"/>
      <c r="GM30" s="27"/>
      <c r="GN30" s="27"/>
      <c r="GO30" s="27"/>
      <c r="GP30" s="27"/>
      <c r="GQ30" s="27"/>
      <c r="GR30" s="27"/>
      <c r="GS30" s="27"/>
      <c r="GT30" s="27"/>
      <c r="GU30" s="27"/>
      <c r="GV30" s="27"/>
      <c r="GW30" s="27"/>
      <c r="GX30" s="27"/>
      <c r="GY30" s="27"/>
      <c r="GZ30" s="27"/>
      <c r="HA30" s="27"/>
      <c r="HB30" s="27"/>
      <c r="HC30" s="27"/>
      <c r="HD30" s="27"/>
      <c r="HE30" s="27"/>
      <c r="HF30" s="27"/>
      <c r="HG30" s="27"/>
      <c r="HH30" s="27"/>
      <c r="HI30" s="27"/>
      <c r="HJ30" s="27"/>
      <c r="HK30" s="27"/>
      <c r="HL30" s="27"/>
      <c r="HM30" s="27"/>
      <c r="HN30" s="27"/>
      <c r="HO30" s="27"/>
      <c r="HP30" s="27"/>
      <c r="HQ30" s="27"/>
      <c r="HR30" s="27"/>
      <c r="HS30" s="27"/>
      <c r="HT30" s="27"/>
      <c r="HU30" s="27"/>
      <c r="HV30" s="27"/>
      <c r="HW30" s="27"/>
      <c r="HX30" s="27"/>
      <c r="HY30" s="27"/>
      <c r="HZ30" s="27"/>
      <c r="IA30" s="27"/>
      <c r="IB30" s="27"/>
      <c r="IC30" s="27"/>
      <c r="ID30" s="27"/>
      <c r="IE30" s="27"/>
      <c r="IF30" s="27"/>
      <c r="IG30" s="27"/>
      <c r="IH30" s="27"/>
      <c r="II30" s="27"/>
      <c r="IJ30" s="27"/>
      <c r="IK30" s="27"/>
      <c r="IL30" s="27"/>
      <c r="IM30" s="27"/>
      <c r="IN30" s="27"/>
      <c r="IO30" s="27"/>
      <c r="IP30" s="27"/>
      <c r="IQ30" s="27"/>
      <c r="IR30" s="27"/>
      <c r="IS30" s="27"/>
      <c r="IT30" s="27"/>
      <c r="IU30" s="27"/>
      <c r="IV30" s="27"/>
      <c r="IW30" s="27"/>
    </row>
    <row r="31" spans="1:257" ht="15.75" customHeight="1" x14ac:dyDescent="0.3">
      <c r="A31" s="72" t="s">
        <v>88</v>
      </c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27"/>
      <c r="M31" s="27"/>
      <c r="N31" s="27"/>
      <c r="O31" s="27"/>
      <c r="P31" s="27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  <c r="CK31" s="27"/>
      <c r="CL31" s="27"/>
      <c r="CM31" s="27"/>
      <c r="CN31" s="27"/>
      <c r="CO31" s="27"/>
      <c r="CP31" s="27"/>
      <c r="CQ31" s="27"/>
      <c r="CR31" s="27"/>
      <c r="CS31" s="27"/>
      <c r="CT31" s="27"/>
      <c r="CU31" s="27"/>
      <c r="CV31" s="27"/>
      <c r="CW31" s="27"/>
      <c r="CX31" s="27"/>
      <c r="CY31" s="27"/>
      <c r="CZ31" s="27"/>
      <c r="DA31" s="27"/>
      <c r="DB31" s="27"/>
      <c r="DC31" s="27"/>
      <c r="DD31" s="27"/>
      <c r="DE31" s="27"/>
      <c r="DF31" s="27"/>
      <c r="DG31" s="27"/>
      <c r="DH31" s="27"/>
      <c r="DI31" s="27"/>
      <c r="DJ31" s="27"/>
      <c r="DK31" s="27"/>
      <c r="DL31" s="27"/>
      <c r="DM31" s="27"/>
      <c r="DN31" s="27"/>
      <c r="DO31" s="27"/>
      <c r="DP31" s="27"/>
      <c r="DQ31" s="27"/>
      <c r="DR31" s="27"/>
      <c r="DS31" s="27"/>
      <c r="DT31" s="27"/>
      <c r="DU31" s="27"/>
      <c r="DV31" s="27"/>
      <c r="DW31" s="27"/>
      <c r="DX31" s="27"/>
      <c r="DY31" s="27"/>
      <c r="DZ31" s="27"/>
      <c r="EA31" s="27"/>
      <c r="EB31" s="27"/>
      <c r="EC31" s="27"/>
      <c r="ED31" s="27"/>
      <c r="EE31" s="27"/>
      <c r="EF31" s="27"/>
      <c r="EG31" s="27"/>
      <c r="EH31" s="27"/>
      <c r="EI31" s="27"/>
      <c r="EJ31" s="27"/>
      <c r="EK31" s="27"/>
      <c r="EL31" s="27"/>
      <c r="EM31" s="27"/>
      <c r="EN31" s="27"/>
      <c r="EO31" s="27"/>
      <c r="EP31" s="27"/>
      <c r="EQ31" s="27"/>
      <c r="ER31" s="27"/>
      <c r="ES31" s="27"/>
      <c r="ET31" s="27"/>
      <c r="EU31" s="27"/>
      <c r="EV31" s="27"/>
      <c r="EW31" s="27"/>
      <c r="EX31" s="27"/>
      <c r="EY31" s="27"/>
      <c r="EZ31" s="27"/>
      <c r="FA31" s="27"/>
      <c r="FB31" s="27"/>
      <c r="FC31" s="27"/>
      <c r="FD31" s="27"/>
      <c r="FE31" s="27"/>
      <c r="FF31" s="27"/>
      <c r="FG31" s="27"/>
      <c r="FH31" s="27"/>
      <c r="FI31" s="27"/>
      <c r="FJ31" s="27"/>
      <c r="FK31" s="27"/>
      <c r="FL31" s="27"/>
      <c r="FM31" s="27"/>
      <c r="FN31" s="27"/>
      <c r="FO31" s="27"/>
      <c r="FP31" s="27"/>
      <c r="FQ31" s="27"/>
      <c r="FR31" s="27"/>
      <c r="FS31" s="27"/>
      <c r="FT31" s="27"/>
      <c r="FU31" s="27"/>
      <c r="FV31" s="27"/>
      <c r="FW31" s="27"/>
      <c r="FX31" s="27"/>
      <c r="FY31" s="27"/>
      <c r="FZ31" s="27"/>
      <c r="GA31" s="27"/>
      <c r="GB31" s="27"/>
      <c r="GC31" s="27"/>
      <c r="GD31" s="27"/>
      <c r="GE31" s="27"/>
      <c r="GF31" s="27"/>
      <c r="GG31" s="27"/>
      <c r="GH31" s="27"/>
      <c r="GI31" s="27"/>
      <c r="GJ31" s="27"/>
      <c r="GK31" s="27"/>
      <c r="GL31" s="27"/>
      <c r="GM31" s="27"/>
      <c r="GN31" s="27"/>
      <c r="GO31" s="27"/>
      <c r="GP31" s="27"/>
      <c r="GQ31" s="27"/>
      <c r="GR31" s="27"/>
      <c r="GS31" s="27"/>
      <c r="GT31" s="27"/>
      <c r="GU31" s="27"/>
      <c r="GV31" s="27"/>
      <c r="GW31" s="27"/>
      <c r="GX31" s="27"/>
      <c r="GY31" s="27"/>
      <c r="GZ31" s="27"/>
      <c r="HA31" s="27"/>
      <c r="HB31" s="27"/>
      <c r="HC31" s="27"/>
      <c r="HD31" s="27"/>
      <c r="HE31" s="27"/>
      <c r="HF31" s="27"/>
      <c r="HG31" s="27"/>
      <c r="HH31" s="27"/>
      <c r="HI31" s="27"/>
      <c r="HJ31" s="27"/>
      <c r="HK31" s="27"/>
      <c r="HL31" s="27"/>
      <c r="HM31" s="27"/>
      <c r="HN31" s="27"/>
      <c r="HO31" s="27"/>
      <c r="HP31" s="27"/>
      <c r="HQ31" s="27"/>
      <c r="HR31" s="27"/>
      <c r="HS31" s="27"/>
      <c r="HT31" s="27"/>
      <c r="HU31" s="27"/>
      <c r="HV31" s="27"/>
      <c r="HW31" s="27"/>
      <c r="HX31" s="27"/>
      <c r="HY31" s="27"/>
      <c r="HZ31" s="27"/>
      <c r="IA31" s="27"/>
      <c r="IB31" s="27"/>
      <c r="IC31" s="27"/>
      <c r="ID31" s="27"/>
      <c r="IE31" s="27"/>
      <c r="IF31" s="27"/>
      <c r="IG31" s="27"/>
      <c r="IH31" s="27"/>
      <c r="II31" s="27"/>
      <c r="IJ31" s="27"/>
      <c r="IK31" s="27"/>
      <c r="IL31" s="27"/>
      <c r="IM31" s="27"/>
      <c r="IN31" s="27"/>
      <c r="IO31" s="27"/>
      <c r="IP31" s="27"/>
      <c r="IQ31" s="27"/>
      <c r="IR31" s="27"/>
      <c r="IS31" s="27"/>
      <c r="IT31" s="27"/>
      <c r="IU31" s="27"/>
      <c r="IV31" s="27"/>
      <c r="IW31" s="27"/>
    </row>
    <row r="32" spans="1:257" ht="15.75" customHeight="1" x14ac:dyDescent="0.3">
      <c r="A32" s="7" t="s">
        <v>89</v>
      </c>
      <c r="B32" s="32"/>
      <c r="C32" s="27"/>
      <c r="D32" s="5"/>
      <c r="E32" s="5"/>
      <c r="F32" s="5"/>
      <c r="G32" s="5"/>
      <c r="H32" s="5"/>
      <c r="I32" s="5"/>
      <c r="J32" s="5"/>
      <c r="K32" s="5"/>
      <c r="L32" s="27"/>
      <c r="M32" s="27"/>
      <c r="N32" s="27"/>
      <c r="O32" s="27"/>
      <c r="P32" s="27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  <c r="CK32" s="27"/>
      <c r="CL32" s="27"/>
      <c r="CM32" s="27"/>
      <c r="CN32" s="27"/>
      <c r="CO32" s="27"/>
      <c r="CP32" s="27"/>
      <c r="CQ32" s="27"/>
      <c r="CR32" s="27"/>
      <c r="CS32" s="27"/>
      <c r="CT32" s="27"/>
      <c r="CU32" s="27"/>
      <c r="CV32" s="27"/>
      <c r="CW32" s="27"/>
      <c r="CX32" s="27"/>
      <c r="CY32" s="27"/>
      <c r="CZ32" s="27"/>
      <c r="DA32" s="27"/>
      <c r="DB32" s="27"/>
      <c r="DC32" s="27"/>
      <c r="DD32" s="27"/>
      <c r="DE32" s="27"/>
      <c r="DF32" s="27"/>
      <c r="DG32" s="27"/>
      <c r="DH32" s="27"/>
      <c r="DI32" s="27"/>
      <c r="DJ32" s="27"/>
      <c r="DK32" s="27"/>
      <c r="DL32" s="27"/>
      <c r="DM32" s="27"/>
      <c r="DN32" s="27"/>
      <c r="DO32" s="27"/>
      <c r="DP32" s="27"/>
      <c r="DQ32" s="27"/>
      <c r="DR32" s="27"/>
      <c r="DS32" s="27"/>
      <c r="DT32" s="27"/>
      <c r="DU32" s="27"/>
      <c r="DV32" s="27"/>
      <c r="DW32" s="27"/>
      <c r="DX32" s="27"/>
      <c r="DY32" s="27"/>
      <c r="DZ32" s="27"/>
      <c r="EA32" s="27"/>
      <c r="EB32" s="27"/>
      <c r="EC32" s="27"/>
      <c r="ED32" s="27"/>
      <c r="EE32" s="27"/>
      <c r="EF32" s="27"/>
      <c r="EG32" s="27"/>
      <c r="EH32" s="27"/>
      <c r="EI32" s="27"/>
      <c r="EJ32" s="27"/>
      <c r="EK32" s="27"/>
      <c r="EL32" s="27"/>
      <c r="EM32" s="27"/>
      <c r="EN32" s="27"/>
      <c r="EO32" s="27"/>
      <c r="EP32" s="27"/>
      <c r="EQ32" s="27"/>
      <c r="ER32" s="27"/>
      <c r="ES32" s="27"/>
      <c r="ET32" s="27"/>
      <c r="EU32" s="27"/>
      <c r="EV32" s="27"/>
      <c r="EW32" s="27"/>
      <c r="EX32" s="27"/>
      <c r="EY32" s="27"/>
      <c r="EZ32" s="27"/>
      <c r="FA32" s="27"/>
      <c r="FB32" s="27"/>
      <c r="FC32" s="27"/>
      <c r="FD32" s="27"/>
      <c r="FE32" s="27"/>
      <c r="FF32" s="27"/>
      <c r="FG32" s="27"/>
      <c r="FH32" s="27"/>
      <c r="FI32" s="27"/>
      <c r="FJ32" s="27"/>
      <c r="FK32" s="27"/>
      <c r="FL32" s="27"/>
      <c r="FM32" s="27"/>
      <c r="FN32" s="27"/>
      <c r="FO32" s="27"/>
      <c r="FP32" s="27"/>
      <c r="FQ32" s="27"/>
      <c r="FR32" s="27"/>
      <c r="FS32" s="27"/>
      <c r="FT32" s="27"/>
      <c r="FU32" s="27"/>
      <c r="FV32" s="27"/>
      <c r="FW32" s="27"/>
      <c r="FX32" s="27"/>
      <c r="FY32" s="27"/>
      <c r="FZ32" s="27"/>
      <c r="GA32" s="27"/>
      <c r="GB32" s="27"/>
      <c r="GC32" s="27"/>
      <c r="GD32" s="27"/>
      <c r="GE32" s="27"/>
      <c r="GF32" s="27"/>
      <c r="GG32" s="27"/>
      <c r="GH32" s="27"/>
      <c r="GI32" s="27"/>
      <c r="GJ32" s="27"/>
      <c r="GK32" s="27"/>
      <c r="GL32" s="27"/>
      <c r="GM32" s="27"/>
      <c r="GN32" s="27"/>
      <c r="GO32" s="27"/>
      <c r="GP32" s="27"/>
      <c r="GQ32" s="27"/>
      <c r="GR32" s="27"/>
      <c r="GS32" s="27"/>
      <c r="GT32" s="27"/>
      <c r="GU32" s="27"/>
      <c r="GV32" s="27"/>
      <c r="GW32" s="27"/>
      <c r="GX32" s="27"/>
      <c r="GY32" s="27"/>
      <c r="GZ32" s="27"/>
      <c r="HA32" s="27"/>
      <c r="HB32" s="27"/>
      <c r="HC32" s="27"/>
      <c r="HD32" s="27"/>
      <c r="HE32" s="27"/>
      <c r="HF32" s="27"/>
      <c r="HG32" s="27"/>
      <c r="HH32" s="27"/>
      <c r="HI32" s="27"/>
      <c r="HJ32" s="27"/>
      <c r="HK32" s="27"/>
      <c r="HL32" s="27"/>
      <c r="HM32" s="27"/>
      <c r="HN32" s="27"/>
      <c r="HO32" s="27"/>
      <c r="HP32" s="27"/>
      <c r="HQ32" s="27"/>
      <c r="HR32" s="27"/>
      <c r="HS32" s="27"/>
      <c r="HT32" s="27"/>
      <c r="HU32" s="27"/>
      <c r="HV32" s="27"/>
      <c r="HW32" s="27"/>
      <c r="HX32" s="27"/>
      <c r="HY32" s="27"/>
      <c r="HZ32" s="27"/>
      <c r="IA32" s="27"/>
      <c r="IB32" s="27"/>
      <c r="IC32" s="27"/>
      <c r="ID32" s="27"/>
      <c r="IE32" s="27"/>
      <c r="IF32" s="27"/>
      <c r="IG32" s="27"/>
      <c r="IH32" s="27"/>
      <c r="II32" s="27"/>
      <c r="IJ32" s="27"/>
      <c r="IK32" s="27"/>
      <c r="IL32" s="27"/>
      <c r="IM32" s="27"/>
      <c r="IN32" s="27"/>
      <c r="IO32" s="27"/>
      <c r="IP32" s="27"/>
      <c r="IQ32" s="27"/>
      <c r="IR32" s="27"/>
      <c r="IS32" s="27"/>
      <c r="IT32" s="27"/>
      <c r="IU32" s="27"/>
      <c r="IV32" s="27"/>
      <c r="IW32" s="27"/>
    </row>
    <row r="33" spans="1:257" ht="15.75" customHeight="1" x14ac:dyDescent="0.3">
      <c r="A33" s="7" t="s">
        <v>117</v>
      </c>
      <c r="B33" s="32"/>
      <c r="C33" s="27"/>
      <c r="D33" s="5"/>
      <c r="E33" s="29"/>
      <c r="F33" s="29"/>
      <c r="G33" s="29"/>
      <c r="H33" s="32"/>
      <c r="I33" s="5"/>
      <c r="J33" s="5"/>
      <c r="K33" s="5"/>
      <c r="L33" s="27"/>
      <c r="M33" s="27"/>
      <c r="N33" s="27"/>
      <c r="O33" s="27"/>
      <c r="P33" s="27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  <c r="CK33" s="27"/>
      <c r="CL33" s="27"/>
      <c r="CM33" s="27"/>
      <c r="CN33" s="27"/>
      <c r="CO33" s="27"/>
      <c r="CP33" s="27"/>
      <c r="CQ33" s="27"/>
      <c r="CR33" s="27"/>
      <c r="CS33" s="27"/>
      <c r="CT33" s="27"/>
      <c r="CU33" s="27"/>
      <c r="CV33" s="27"/>
      <c r="CW33" s="27"/>
      <c r="CX33" s="27"/>
      <c r="CY33" s="27"/>
      <c r="CZ33" s="27"/>
      <c r="DA33" s="27"/>
      <c r="DB33" s="27"/>
      <c r="DC33" s="27"/>
      <c r="DD33" s="27"/>
      <c r="DE33" s="27"/>
      <c r="DF33" s="27"/>
      <c r="DG33" s="27"/>
      <c r="DH33" s="27"/>
      <c r="DI33" s="27"/>
      <c r="DJ33" s="27"/>
      <c r="DK33" s="27"/>
      <c r="DL33" s="27"/>
      <c r="DM33" s="27"/>
      <c r="DN33" s="27"/>
      <c r="DO33" s="27"/>
      <c r="DP33" s="27"/>
      <c r="DQ33" s="27"/>
      <c r="DR33" s="27"/>
      <c r="DS33" s="27"/>
      <c r="DT33" s="27"/>
      <c r="DU33" s="27"/>
      <c r="DV33" s="27"/>
      <c r="DW33" s="27"/>
      <c r="DX33" s="27"/>
      <c r="DY33" s="27"/>
      <c r="DZ33" s="27"/>
      <c r="EA33" s="27"/>
      <c r="EB33" s="27"/>
      <c r="EC33" s="27"/>
      <c r="ED33" s="27"/>
      <c r="EE33" s="27"/>
      <c r="EF33" s="27"/>
      <c r="EG33" s="27"/>
      <c r="EH33" s="27"/>
      <c r="EI33" s="27"/>
      <c r="EJ33" s="27"/>
      <c r="EK33" s="27"/>
      <c r="EL33" s="27"/>
      <c r="EM33" s="27"/>
      <c r="EN33" s="27"/>
      <c r="EO33" s="27"/>
      <c r="EP33" s="27"/>
      <c r="EQ33" s="27"/>
      <c r="ER33" s="27"/>
      <c r="ES33" s="27"/>
      <c r="ET33" s="27"/>
      <c r="EU33" s="27"/>
      <c r="EV33" s="27"/>
      <c r="EW33" s="27"/>
      <c r="EX33" s="27"/>
      <c r="EY33" s="27"/>
      <c r="EZ33" s="27"/>
      <c r="FA33" s="27"/>
      <c r="FB33" s="27"/>
      <c r="FC33" s="27"/>
      <c r="FD33" s="27"/>
      <c r="FE33" s="27"/>
      <c r="FF33" s="27"/>
      <c r="FG33" s="27"/>
      <c r="FH33" s="27"/>
      <c r="FI33" s="27"/>
      <c r="FJ33" s="27"/>
      <c r="FK33" s="27"/>
      <c r="FL33" s="27"/>
      <c r="FM33" s="27"/>
      <c r="FN33" s="27"/>
      <c r="FO33" s="27"/>
      <c r="FP33" s="27"/>
      <c r="FQ33" s="27"/>
      <c r="FR33" s="27"/>
      <c r="FS33" s="27"/>
      <c r="FT33" s="27"/>
      <c r="FU33" s="27"/>
      <c r="FV33" s="27"/>
      <c r="FW33" s="27"/>
      <c r="FX33" s="27"/>
      <c r="FY33" s="27"/>
      <c r="FZ33" s="27"/>
      <c r="GA33" s="27"/>
      <c r="GB33" s="27"/>
      <c r="GC33" s="27"/>
      <c r="GD33" s="27"/>
      <c r="GE33" s="27"/>
      <c r="GF33" s="27"/>
      <c r="GG33" s="27"/>
      <c r="GH33" s="27"/>
      <c r="GI33" s="27"/>
      <c r="GJ33" s="27"/>
      <c r="GK33" s="27"/>
      <c r="GL33" s="27"/>
      <c r="GM33" s="27"/>
      <c r="GN33" s="27"/>
      <c r="GO33" s="27"/>
      <c r="GP33" s="27"/>
      <c r="GQ33" s="27"/>
      <c r="GR33" s="27"/>
      <c r="GS33" s="27"/>
      <c r="GT33" s="27"/>
      <c r="GU33" s="27"/>
      <c r="GV33" s="27"/>
      <c r="GW33" s="27"/>
      <c r="GX33" s="27"/>
      <c r="GY33" s="27"/>
      <c r="GZ33" s="27"/>
      <c r="HA33" s="27"/>
      <c r="HB33" s="27"/>
      <c r="HC33" s="27"/>
      <c r="HD33" s="27"/>
      <c r="HE33" s="27"/>
      <c r="HF33" s="27"/>
      <c r="HG33" s="27"/>
      <c r="HH33" s="27"/>
      <c r="HI33" s="27"/>
      <c r="HJ33" s="27"/>
      <c r="HK33" s="27"/>
      <c r="HL33" s="27"/>
      <c r="HM33" s="27"/>
      <c r="HN33" s="27"/>
      <c r="HO33" s="27"/>
      <c r="HP33" s="27"/>
      <c r="HQ33" s="27"/>
      <c r="HR33" s="27"/>
      <c r="HS33" s="27"/>
      <c r="HT33" s="27"/>
      <c r="HU33" s="27"/>
      <c r="HV33" s="27"/>
      <c r="HW33" s="27"/>
      <c r="HX33" s="27"/>
      <c r="HY33" s="27"/>
      <c r="HZ33" s="27"/>
      <c r="IA33" s="27"/>
      <c r="IB33" s="27"/>
      <c r="IC33" s="27"/>
      <c r="ID33" s="27"/>
      <c r="IE33" s="27"/>
      <c r="IF33" s="27"/>
      <c r="IG33" s="27"/>
      <c r="IH33" s="27"/>
      <c r="II33" s="27"/>
      <c r="IJ33" s="27"/>
      <c r="IK33" s="27"/>
      <c r="IL33" s="27"/>
      <c r="IM33" s="27"/>
      <c r="IN33" s="27"/>
      <c r="IO33" s="27"/>
      <c r="IP33" s="27"/>
      <c r="IQ33" s="27"/>
      <c r="IR33" s="27"/>
      <c r="IS33" s="27"/>
      <c r="IT33" s="27"/>
      <c r="IU33" s="27"/>
      <c r="IV33" s="27"/>
      <c r="IW33" s="27"/>
    </row>
    <row r="34" spans="1:257" ht="15.75" customHeight="1" x14ac:dyDescent="0.3">
      <c r="A34" s="32"/>
      <c r="B34" s="32"/>
      <c r="C34" s="27"/>
      <c r="D34" s="5"/>
      <c r="E34" s="34"/>
      <c r="F34" s="34"/>
      <c r="G34" s="34"/>
      <c r="H34" s="32"/>
      <c r="I34" s="5"/>
      <c r="J34" s="5"/>
      <c r="K34" s="5"/>
      <c r="L34" s="27"/>
      <c r="M34" s="27"/>
      <c r="N34" s="27"/>
      <c r="O34" s="27"/>
      <c r="P34" s="27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  <c r="CK34" s="27"/>
      <c r="CL34" s="27"/>
      <c r="CM34" s="27"/>
      <c r="CN34" s="27"/>
      <c r="CO34" s="27"/>
      <c r="CP34" s="27"/>
      <c r="CQ34" s="27"/>
      <c r="CR34" s="27"/>
      <c r="CS34" s="27"/>
      <c r="CT34" s="27"/>
      <c r="CU34" s="27"/>
      <c r="CV34" s="27"/>
      <c r="CW34" s="27"/>
      <c r="CX34" s="27"/>
      <c r="CY34" s="27"/>
      <c r="CZ34" s="27"/>
      <c r="DA34" s="27"/>
      <c r="DB34" s="27"/>
      <c r="DC34" s="27"/>
      <c r="DD34" s="27"/>
      <c r="DE34" s="27"/>
      <c r="DF34" s="27"/>
      <c r="DG34" s="27"/>
      <c r="DH34" s="27"/>
      <c r="DI34" s="27"/>
      <c r="DJ34" s="27"/>
      <c r="DK34" s="27"/>
      <c r="DL34" s="27"/>
      <c r="DM34" s="27"/>
      <c r="DN34" s="27"/>
      <c r="DO34" s="27"/>
      <c r="DP34" s="27"/>
      <c r="DQ34" s="27"/>
      <c r="DR34" s="27"/>
      <c r="DS34" s="27"/>
      <c r="DT34" s="27"/>
      <c r="DU34" s="27"/>
      <c r="DV34" s="27"/>
      <c r="DW34" s="27"/>
      <c r="DX34" s="27"/>
      <c r="DY34" s="27"/>
      <c r="DZ34" s="27"/>
      <c r="EA34" s="27"/>
      <c r="EB34" s="27"/>
      <c r="EC34" s="27"/>
      <c r="ED34" s="27"/>
      <c r="EE34" s="27"/>
      <c r="EF34" s="27"/>
      <c r="EG34" s="27"/>
      <c r="EH34" s="27"/>
      <c r="EI34" s="27"/>
      <c r="EJ34" s="27"/>
      <c r="EK34" s="27"/>
      <c r="EL34" s="27"/>
      <c r="EM34" s="27"/>
      <c r="EN34" s="27"/>
      <c r="EO34" s="27"/>
      <c r="EP34" s="27"/>
      <c r="EQ34" s="27"/>
      <c r="ER34" s="27"/>
      <c r="ES34" s="27"/>
      <c r="ET34" s="27"/>
      <c r="EU34" s="27"/>
      <c r="EV34" s="27"/>
      <c r="EW34" s="27"/>
      <c r="EX34" s="27"/>
      <c r="EY34" s="27"/>
      <c r="EZ34" s="27"/>
      <c r="FA34" s="27"/>
      <c r="FB34" s="27"/>
      <c r="FC34" s="27"/>
      <c r="FD34" s="27"/>
      <c r="FE34" s="27"/>
      <c r="FF34" s="27"/>
      <c r="FG34" s="27"/>
      <c r="FH34" s="27"/>
      <c r="FI34" s="27"/>
      <c r="FJ34" s="27"/>
      <c r="FK34" s="27"/>
      <c r="FL34" s="27"/>
      <c r="FM34" s="27"/>
      <c r="FN34" s="27"/>
      <c r="FO34" s="27"/>
      <c r="FP34" s="27"/>
      <c r="FQ34" s="27"/>
      <c r="FR34" s="27"/>
      <c r="FS34" s="27"/>
      <c r="FT34" s="27"/>
      <c r="FU34" s="27"/>
      <c r="FV34" s="27"/>
      <c r="FW34" s="27"/>
      <c r="FX34" s="27"/>
      <c r="FY34" s="27"/>
      <c r="FZ34" s="27"/>
      <c r="GA34" s="27"/>
      <c r="GB34" s="27"/>
      <c r="GC34" s="27"/>
      <c r="GD34" s="27"/>
      <c r="GE34" s="27"/>
      <c r="GF34" s="27"/>
      <c r="GG34" s="27"/>
      <c r="GH34" s="27"/>
      <c r="GI34" s="27"/>
      <c r="GJ34" s="27"/>
      <c r="GK34" s="27"/>
      <c r="GL34" s="27"/>
      <c r="GM34" s="27"/>
      <c r="GN34" s="27"/>
      <c r="GO34" s="27"/>
      <c r="GP34" s="27"/>
      <c r="GQ34" s="27"/>
      <c r="GR34" s="27"/>
      <c r="GS34" s="27"/>
      <c r="GT34" s="27"/>
      <c r="GU34" s="27"/>
      <c r="GV34" s="27"/>
      <c r="GW34" s="27"/>
      <c r="GX34" s="27"/>
      <c r="GY34" s="27"/>
      <c r="GZ34" s="27"/>
      <c r="HA34" s="27"/>
      <c r="HB34" s="27"/>
      <c r="HC34" s="27"/>
      <c r="HD34" s="27"/>
      <c r="HE34" s="27"/>
      <c r="HF34" s="27"/>
      <c r="HG34" s="27"/>
      <c r="HH34" s="27"/>
      <c r="HI34" s="27"/>
      <c r="HJ34" s="27"/>
      <c r="HK34" s="27"/>
      <c r="HL34" s="27"/>
      <c r="HM34" s="27"/>
      <c r="HN34" s="27"/>
      <c r="HO34" s="27"/>
      <c r="HP34" s="27"/>
      <c r="HQ34" s="27"/>
      <c r="HR34" s="27"/>
      <c r="HS34" s="27"/>
      <c r="HT34" s="27"/>
      <c r="HU34" s="27"/>
      <c r="HV34" s="27"/>
      <c r="HW34" s="27"/>
      <c r="HX34" s="27"/>
      <c r="HY34" s="27"/>
      <c r="HZ34" s="27"/>
      <c r="IA34" s="27"/>
      <c r="IB34" s="27"/>
      <c r="IC34" s="27"/>
      <c r="ID34" s="27"/>
      <c r="IE34" s="27"/>
      <c r="IF34" s="27"/>
      <c r="IG34" s="27"/>
      <c r="IH34" s="27"/>
      <c r="II34" s="27"/>
      <c r="IJ34" s="27"/>
      <c r="IK34" s="27"/>
      <c r="IL34" s="27"/>
      <c r="IM34" s="27"/>
      <c r="IN34" s="27"/>
      <c r="IO34" s="27"/>
      <c r="IP34" s="27"/>
      <c r="IQ34" s="27"/>
      <c r="IR34" s="27"/>
      <c r="IS34" s="27"/>
      <c r="IT34" s="27"/>
      <c r="IU34" s="27"/>
      <c r="IV34" s="27"/>
      <c r="IW34" s="27"/>
    </row>
    <row r="35" spans="1:257" ht="15.75" customHeight="1" x14ac:dyDescent="0.3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  <c r="CK35" s="27"/>
      <c r="CL35" s="27"/>
      <c r="CM35" s="27"/>
      <c r="CN35" s="27"/>
      <c r="CO35" s="27"/>
      <c r="CP35" s="27"/>
      <c r="CQ35" s="27"/>
      <c r="CR35" s="27"/>
      <c r="CS35" s="27"/>
      <c r="CT35" s="27"/>
      <c r="CU35" s="27"/>
      <c r="CV35" s="27"/>
      <c r="CW35" s="27"/>
      <c r="CX35" s="27"/>
      <c r="CY35" s="27"/>
      <c r="CZ35" s="27"/>
      <c r="DA35" s="27"/>
      <c r="DB35" s="27"/>
      <c r="DC35" s="27"/>
      <c r="DD35" s="27"/>
      <c r="DE35" s="27"/>
      <c r="DF35" s="27"/>
      <c r="DG35" s="27"/>
      <c r="DH35" s="27"/>
      <c r="DI35" s="27"/>
      <c r="DJ35" s="27"/>
      <c r="DK35" s="27"/>
      <c r="DL35" s="27"/>
      <c r="DM35" s="27"/>
      <c r="DN35" s="27"/>
      <c r="DO35" s="27"/>
      <c r="DP35" s="27"/>
      <c r="DQ35" s="27"/>
      <c r="DR35" s="27"/>
      <c r="DS35" s="27"/>
      <c r="DT35" s="27"/>
      <c r="DU35" s="27"/>
      <c r="DV35" s="27"/>
      <c r="DW35" s="27"/>
      <c r="DX35" s="27"/>
      <c r="DY35" s="27"/>
      <c r="DZ35" s="27"/>
      <c r="EA35" s="27"/>
      <c r="EB35" s="27"/>
      <c r="EC35" s="27"/>
      <c r="ED35" s="27"/>
      <c r="EE35" s="27"/>
      <c r="EF35" s="27"/>
      <c r="EG35" s="27"/>
      <c r="EH35" s="27"/>
      <c r="EI35" s="27"/>
      <c r="EJ35" s="27"/>
      <c r="EK35" s="27"/>
      <c r="EL35" s="27"/>
      <c r="EM35" s="27"/>
      <c r="EN35" s="27"/>
      <c r="EO35" s="27"/>
      <c r="EP35" s="27"/>
      <c r="EQ35" s="27"/>
      <c r="ER35" s="27"/>
      <c r="ES35" s="27"/>
      <c r="ET35" s="27"/>
      <c r="EU35" s="27"/>
      <c r="EV35" s="27"/>
      <c r="EW35" s="27"/>
      <c r="EX35" s="27"/>
      <c r="EY35" s="27"/>
      <c r="EZ35" s="27"/>
      <c r="FA35" s="27"/>
      <c r="FB35" s="27"/>
      <c r="FC35" s="27"/>
      <c r="FD35" s="27"/>
      <c r="FE35" s="27"/>
      <c r="FF35" s="27"/>
      <c r="FG35" s="27"/>
      <c r="FH35" s="27"/>
      <c r="FI35" s="27"/>
      <c r="FJ35" s="27"/>
      <c r="FK35" s="27"/>
      <c r="FL35" s="27"/>
      <c r="FM35" s="27"/>
      <c r="FN35" s="27"/>
      <c r="FO35" s="27"/>
      <c r="FP35" s="27"/>
      <c r="FQ35" s="27"/>
      <c r="FR35" s="27"/>
      <c r="FS35" s="27"/>
      <c r="FT35" s="27"/>
      <c r="FU35" s="27"/>
      <c r="FV35" s="27"/>
      <c r="FW35" s="27"/>
      <c r="FX35" s="27"/>
      <c r="FY35" s="27"/>
      <c r="FZ35" s="27"/>
      <c r="GA35" s="27"/>
      <c r="GB35" s="27"/>
      <c r="GC35" s="27"/>
      <c r="GD35" s="27"/>
      <c r="GE35" s="27"/>
      <c r="GF35" s="27"/>
      <c r="GG35" s="27"/>
      <c r="GH35" s="27"/>
      <c r="GI35" s="27"/>
      <c r="GJ35" s="27"/>
      <c r="GK35" s="27"/>
      <c r="GL35" s="27"/>
      <c r="GM35" s="27"/>
      <c r="GN35" s="27"/>
      <c r="GO35" s="27"/>
      <c r="GP35" s="27"/>
      <c r="GQ35" s="27"/>
      <c r="GR35" s="27"/>
      <c r="GS35" s="27"/>
      <c r="GT35" s="27"/>
      <c r="GU35" s="27"/>
      <c r="GV35" s="27"/>
      <c r="GW35" s="27"/>
      <c r="GX35" s="27"/>
      <c r="GY35" s="27"/>
      <c r="GZ35" s="27"/>
      <c r="HA35" s="27"/>
      <c r="HB35" s="27"/>
      <c r="HC35" s="27"/>
      <c r="HD35" s="27"/>
      <c r="HE35" s="27"/>
      <c r="HF35" s="27"/>
      <c r="HG35" s="27"/>
      <c r="HH35" s="27"/>
      <c r="HI35" s="27"/>
      <c r="HJ35" s="27"/>
      <c r="HK35" s="27"/>
      <c r="HL35" s="27"/>
      <c r="HM35" s="27"/>
      <c r="HN35" s="27"/>
      <c r="HO35" s="27"/>
      <c r="HP35" s="27"/>
      <c r="HQ35" s="27"/>
      <c r="HR35" s="27"/>
      <c r="HS35" s="27"/>
      <c r="HT35" s="27"/>
      <c r="HU35" s="27"/>
      <c r="HV35" s="27"/>
      <c r="HW35" s="27"/>
      <c r="HX35" s="27"/>
      <c r="HY35" s="27"/>
      <c r="HZ35" s="27"/>
      <c r="IA35" s="27"/>
      <c r="IB35" s="27"/>
      <c r="IC35" s="27"/>
      <c r="ID35" s="27"/>
      <c r="IE35" s="27"/>
      <c r="IF35" s="27"/>
      <c r="IG35" s="27"/>
      <c r="IH35" s="27"/>
      <c r="II35" s="27"/>
      <c r="IJ35" s="27"/>
      <c r="IK35" s="27"/>
      <c r="IL35" s="27"/>
      <c r="IM35" s="27"/>
      <c r="IN35" s="27"/>
      <c r="IO35" s="27"/>
      <c r="IP35" s="27"/>
      <c r="IQ35" s="27"/>
      <c r="IR35" s="27"/>
      <c r="IS35" s="27"/>
      <c r="IT35" s="27"/>
      <c r="IU35" s="27"/>
      <c r="IV35" s="27"/>
      <c r="IW35" s="27"/>
    </row>
    <row r="36" spans="1:257" ht="15.75" customHeight="1" x14ac:dyDescent="0.3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  <c r="CK36" s="27"/>
      <c r="CL36" s="27"/>
      <c r="CM36" s="27"/>
      <c r="CN36" s="27"/>
      <c r="CO36" s="27"/>
      <c r="CP36" s="27"/>
      <c r="CQ36" s="27"/>
      <c r="CR36" s="27"/>
      <c r="CS36" s="27"/>
      <c r="CT36" s="27"/>
      <c r="CU36" s="27"/>
      <c r="CV36" s="27"/>
      <c r="CW36" s="27"/>
      <c r="CX36" s="27"/>
      <c r="CY36" s="27"/>
      <c r="CZ36" s="27"/>
      <c r="DA36" s="27"/>
      <c r="DB36" s="27"/>
      <c r="DC36" s="27"/>
      <c r="DD36" s="27"/>
      <c r="DE36" s="27"/>
      <c r="DF36" s="27"/>
      <c r="DG36" s="27"/>
      <c r="DH36" s="27"/>
      <c r="DI36" s="27"/>
      <c r="DJ36" s="27"/>
      <c r="DK36" s="27"/>
      <c r="DL36" s="27"/>
      <c r="DM36" s="27"/>
      <c r="DN36" s="27"/>
      <c r="DO36" s="27"/>
      <c r="DP36" s="27"/>
      <c r="DQ36" s="27"/>
      <c r="DR36" s="27"/>
      <c r="DS36" s="27"/>
      <c r="DT36" s="27"/>
      <c r="DU36" s="27"/>
      <c r="DV36" s="27"/>
      <c r="DW36" s="27"/>
      <c r="DX36" s="27"/>
      <c r="DY36" s="27"/>
      <c r="DZ36" s="27"/>
      <c r="EA36" s="27"/>
      <c r="EB36" s="27"/>
      <c r="EC36" s="27"/>
      <c r="ED36" s="27"/>
      <c r="EE36" s="27"/>
      <c r="EF36" s="27"/>
      <c r="EG36" s="27"/>
      <c r="EH36" s="27"/>
      <c r="EI36" s="27"/>
      <c r="EJ36" s="27"/>
      <c r="EK36" s="27"/>
      <c r="EL36" s="27"/>
      <c r="EM36" s="27"/>
      <c r="EN36" s="27"/>
      <c r="EO36" s="27"/>
      <c r="EP36" s="27"/>
      <c r="EQ36" s="27"/>
      <c r="ER36" s="27"/>
      <c r="ES36" s="27"/>
      <c r="ET36" s="27"/>
      <c r="EU36" s="27"/>
      <c r="EV36" s="27"/>
      <c r="EW36" s="27"/>
      <c r="EX36" s="27"/>
      <c r="EY36" s="27"/>
      <c r="EZ36" s="27"/>
      <c r="FA36" s="27"/>
      <c r="FB36" s="27"/>
      <c r="FC36" s="27"/>
      <c r="FD36" s="27"/>
      <c r="FE36" s="27"/>
      <c r="FF36" s="27"/>
      <c r="FG36" s="27"/>
      <c r="FH36" s="27"/>
      <c r="FI36" s="27"/>
      <c r="FJ36" s="27"/>
      <c r="FK36" s="27"/>
      <c r="FL36" s="27"/>
      <c r="FM36" s="27"/>
      <c r="FN36" s="27"/>
      <c r="FO36" s="27"/>
      <c r="FP36" s="27"/>
      <c r="FQ36" s="27"/>
      <c r="FR36" s="27"/>
      <c r="FS36" s="27"/>
      <c r="FT36" s="27"/>
      <c r="FU36" s="27"/>
      <c r="FV36" s="27"/>
      <c r="FW36" s="27"/>
      <c r="FX36" s="27"/>
      <c r="FY36" s="27"/>
      <c r="FZ36" s="27"/>
      <c r="GA36" s="27"/>
      <c r="GB36" s="27"/>
      <c r="GC36" s="27"/>
      <c r="GD36" s="27"/>
      <c r="GE36" s="27"/>
      <c r="GF36" s="27"/>
      <c r="GG36" s="27"/>
      <c r="GH36" s="27"/>
      <c r="GI36" s="27"/>
      <c r="GJ36" s="27"/>
      <c r="GK36" s="27"/>
      <c r="GL36" s="27"/>
      <c r="GM36" s="27"/>
      <c r="GN36" s="27"/>
      <c r="GO36" s="27"/>
      <c r="GP36" s="27"/>
      <c r="GQ36" s="27"/>
      <c r="GR36" s="27"/>
      <c r="GS36" s="27"/>
      <c r="GT36" s="27"/>
      <c r="GU36" s="27"/>
      <c r="GV36" s="27"/>
      <c r="GW36" s="27"/>
      <c r="GX36" s="27"/>
      <c r="GY36" s="27"/>
      <c r="GZ36" s="27"/>
      <c r="HA36" s="27"/>
      <c r="HB36" s="27"/>
      <c r="HC36" s="27"/>
      <c r="HD36" s="27"/>
      <c r="HE36" s="27"/>
      <c r="HF36" s="27"/>
      <c r="HG36" s="27"/>
      <c r="HH36" s="27"/>
      <c r="HI36" s="27"/>
      <c r="HJ36" s="27"/>
      <c r="HK36" s="27"/>
      <c r="HL36" s="27"/>
      <c r="HM36" s="27"/>
      <c r="HN36" s="27"/>
      <c r="HO36" s="27"/>
      <c r="HP36" s="27"/>
      <c r="HQ36" s="27"/>
      <c r="HR36" s="27"/>
      <c r="HS36" s="27"/>
      <c r="HT36" s="27"/>
      <c r="HU36" s="27"/>
      <c r="HV36" s="27"/>
      <c r="HW36" s="27"/>
      <c r="HX36" s="27"/>
      <c r="HY36" s="27"/>
      <c r="HZ36" s="27"/>
      <c r="IA36" s="27"/>
      <c r="IB36" s="27"/>
      <c r="IC36" s="27"/>
      <c r="ID36" s="27"/>
      <c r="IE36" s="27"/>
      <c r="IF36" s="27"/>
      <c r="IG36" s="27"/>
      <c r="IH36" s="27"/>
      <c r="II36" s="27"/>
      <c r="IJ36" s="27"/>
      <c r="IK36" s="27"/>
      <c r="IL36" s="27"/>
      <c r="IM36" s="27"/>
      <c r="IN36" s="27"/>
      <c r="IO36" s="27"/>
      <c r="IP36" s="27"/>
      <c r="IQ36" s="27"/>
      <c r="IR36" s="27"/>
      <c r="IS36" s="27"/>
      <c r="IT36" s="27"/>
      <c r="IU36" s="27"/>
      <c r="IV36" s="27"/>
      <c r="IW36" s="27"/>
    </row>
    <row r="37" spans="1:257" ht="15.75" customHeight="1" x14ac:dyDescent="0.3">
      <c r="A37" s="7" t="str">
        <f>'02 Acts - Data'!C20</f>
        <v>Представитель Южного РЭС АО "ОЭК" ____________________</v>
      </c>
      <c r="B37" s="27"/>
      <c r="C37" s="7"/>
      <c r="D37" s="7"/>
      <c r="E37" s="7"/>
      <c r="F37" s="7"/>
      <c r="G37" s="7"/>
      <c r="H37" s="7"/>
      <c r="I37" s="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  <c r="CK37" s="27"/>
      <c r="CL37" s="27"/>
      <c r="CM37" s="27"/>
      <c r="CN37" s="27"/>
      <c r="CO37" s="27"/>
      <c r="CP37" s="27"/>
      <c r="CQ37" s="27"/>
      <c r="CR37" s="27"/>
      <c r="CS37" s="27"/>
      <c r="CT37" s="27"/>
      <c r="CU37" s="27"/>
      <c r="CV37" s="27"/>
      <c r="CW37" s="27"/>
      <c r="CX37" s="27"/>
      <c r="CY37" s="27"/>
      <c r="CZ37" s="27"/>
      <c r="DA37" s="27"/>
      <c r="DB37" s="27"/>
      <c r="DC37" s="27"/>
      <c r="DD37" s="27"/>
      <c r="DE37" s="27"/>
      <c r="DF37" s="27"/>
      <c r="DG37" s="27"/>
      <c r="DH37" s="27"/>
      <c r="DI37" s="27"/>
      <c r="DJ37" s="27"/>
      <c r="DK37" s="27"/>
      <c r="DL37" s="27"/>
      <c r="DM37" s="27"/>
      <c r="DN37" s="27"/>
      <c r="DO37" s="27"/>
      <c r="DP37" s="27"/>
      <c r="DQ37" s="27"/>
      <c r="DR37" s="27"/>
      <c r="DS37" s="27"/>
      <c r="DT37" s="27"/>
      <c r="DU37" s="27"/>
      <c r="DV37" s="27"/>
      <c r="DW37" s="27"/>
      <c r="DX37" s="27"/>
      <c r="DY37" s="27"/>
      <c r="DZ37" s="27"/>
      <c r="EA37" s="27"/>
      <c r="EB37" s="27"/>
      <c r="EC37" s="27"/>
      <c r="ED37" s="27"/>
      <c r="EE37" s="27"/>
      <c r="EF37" s="27"/>
      <c r="EG37" s="27"/>
      <c r="EH37" s="27"/>
      <c r="EI37" s="27"/>
      <c r="EJ37" s="27"/>
      <c r="EK37" s="27"/>
      <c r="EL37" s="27"/>
      <c r="EM37" s="27"/>
      <c r="EN37" s="27"/>
      <c r="EO37" s="27"/>
      <c r="EP37" s="27"/>
      <c r="EQ37" s="27"/>
      <c r="ER37" s="27"/>
      <c r="ES37" s="27"/>
      <c r="ET37" s="27"/>
      <c r="EU37" s="27"/>
      <c r="EV37" s="27"/>
      <c r="EW37" s="27"/>
      <c r="EX37" s="27"/>
      <c r="EY37" s="27"/>
      <c r="EZ37" s="27"/>
      <c r="FA37" s="27"/>
      <c r="FB37" s="27"/>
      <c r="FC37" s="27"/>
      <c r="FD37" s="27"/>
      <c r="FE37" s="27"/>
      <c r="FF37" s="27"/>
      <c r="FG37" s="27"/>
      <c r="FH37" s="27"/>
      <c r="FI37" s="27"/>
      <c r="FJ37" s="27"/>
      <c r="FK37" s="27"/>
      <c r="FL37" s="27"/>
      <c r="FM37" s="27"/>
      <c r="FN37" s="27"/>
      <c r="FO37" s="27"/>
      <c r="FP37" s="27"/>
      <c r="FQ37" s="27"/>
      <c r="FR37" s="27"/>
      <c r="FS37" s="27"/>
      <c r="FT37" s="27"/>
      <c r="FU37" s="27"/>
      <c r="FV37" s="27"/>
      <c r="FW37" s="27"/>
      <c r="FX37" s="27"/>
      <c r="FY37" s="27"/>
      <c r="FZ37" s="27"/>
      <c r="GA37" s="27"/>
      <c r="GB37" s="27"/>
      <c r="GC37" s="27"/>
      <c r="GD37" s="27"/>
      <c r="GE37" s="27"/>
      <c r="GF37" s="27"/>
      <c r="GG37" s="27"/>
      <c r="GH37" s="27"/>
      <c r="GI37" s="27"/>
      <c r="GJ37" s="27"/>
      <c r="GK37" s="27"/>
      <c r="GL37" s="27"/>
      <c r="GM37" s="27"/>
      <c r="GN37" s="27"/>
      <c r="GO37" s="27"/>
      <c r="GP37" s="27"/>
      <c r="GQ37" s="27"/>
      <c r="GR37" s="27"/>
      <c r="GS37" s="27"/>
      <c r="GT37" s="27"/>
      <c r="GU37" s="27"/>
      <c r="GV37" s="27"/>
      <c r="GW37" s="27"/>
      <c r="GX37" s="27"/>
      <c r="GY37" s="27"/>
      <c r="GZ37" s="27"/>
      <c r="HA37" s="27"/>
      <c r="HB37" s="27"/>
      <c r="HC37" s="27"/>
      <c r="HD37" s="27"/>
      <c r="HE37" s="27"/>
      <c r="HF37" s="27"/>
      <c r="HG37" s="27"/>
      <c r="HH37" s="27"/>
      <c r="HI37" s="27"/>
      <c r="HJ37" s="27"/>
      <c r="HK37" s="27"/>
      <c r="HL37" s="27"/>
      <c r="HM37" s="27"/>
      <c r="HN37" s="27"/>
      <c r="HO37" s="27"/>
      <c r="HP37" s="27"/>
      <c r="HQ37" s="27"/>
      <c r="HR37" s="27"/>
      <c r="HS37" s="27"/>
      <c r="HT37" s="27"/>
      <c r="HU37" s="27"/>
      <c r="HV37" s="27"/>
      <c r="HW37" s="27"/>
      <c r="HX37" s="27"/>
      <c r="HY37" s="27"/>
      <c r="HZ37" s="27"/>
      <c r="IA37" s="27"/>
      <c r="IB37" s="27"/>
      <c r="IC37" s="27"/>
      <c r="ID37" s="27"/>
      <c r="IE37" s="27"/>
      <c r="IF37" s="27"/>
      <c r="IG37" s="27"/>
      <c r="IH37" s="27"/>
      <c r="II37" s="27"/>
      <c r="IJ37" s="27"/>
      <c r="IK37" s="27"/>
      <c r="IL37" s="27"/>
      <c r="IM37" s="27"/>
      <c r="IN37" s="27"/>
      <c r="IO37" s="27"/>
      <c r="IP37" s="27"/>
      <c r="IQ37" s="27"/>
      <c r="IR37" s="27"/>
      <c r="IS37" s="27"/>
      <c r="IT37" s="27"/>
      <c r="IU37" s="27"/>
      <c r="IV37" s="27"/>
      <c r="IW37" s="27"/>
    </row>
    <row r="38" spans="1:257" ht="15.75" customHeight="1" x14ac:dyDescent="0.3">
      <c r="A38" s="7"/>
      <c r="B38" s="27"/>
      <c r="C38" s="7"/>
      <c r="D38" s="7"/>
      <c r="E38" s="7"/>
      <c r="F38" s="7"/>
      <c r="G38" s="7"/>
      <c r="H38" s="7"/>
      <c r="I38" s="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  <c r="CK38" s="27"/>
      <c r="CL38" s="27"/>
      <c r="CM38" s="27"/>
      <c r="CN38" s="27"/>
      <c r="CO38" s="27"/>
      <c r="CP38" s="27"/>
      <c r="CQ38" s="27"/>
      <c r="CR38" s="27"/>
      <c r="CS38" s="27"/>
      <c r="CT38" s="27"/>
      <c r="CU38" s="27"/>
      <c r="CV38" s="27"/>
      <c r="CW38" s="27"/>
      <c r="CX38" s="27"/>
      <c r="CY38" s="27"/>
      <c r="CZ38" s="27"/>
      <c r="DA38" s="27"/>
      <c r="DB38" s="27"/>
      <c r="DC38" s="27"/>
      <c r="DD38" s="27"/>
      <c r="DE38" s="27"/>
      <c r="DF38" s="27"/>
      <c r="DG38" s="27"/>
      <c r="DH38" s="27"/>
      <c r="DI38" s="27"/>
      <c r="DJ38" s="27"/>
      <c r="DK38" s="27"/>
      <c r="DL38" s="27"/>
      <c r="DM38" s="27"/>
      <c r="DN38" s="27"/>
      <c r="DO38" s="27"/>
      <c r="DP38" s="27"/>
      <c r="DQ38" s="27"/>
      <c r="DR38" s="27"/>
      <c r="DS38" s="27"/>
      <c r="DT38" s="27"/>
      <c r="DU38" s="27"/>
      <c r="DV38" s="27"/>
      <c r="DW38" s="27"/>
      <c r="DX38" s="27"/>
      <c r="DY38" s="27"/>
      <c r="DZ38" s="27"/>
      <c r="EA38" s="27"/>
      <c r="EB38" s="27"/>
      <c r="EC38" s="27"/>
      <c r="ED38" s="27"/>
      <c r="EE38" s="27"/>
      <c r="EF38" s="27"/>
      <c r="EG38" s="27"/>
      <c r="EH38" s="27"/>
      <c r="EI38" s="27"/>
      <c r="EJ38" s="27"/>
      <c r="EK38" s="27"/>
      <c r="EL38" s="27"/>
      <c r="EM38" s="27"/>
      <c r="EN38" s="27"/>
      <c r="EO38" s="27"/>
      <c r="EP38" s="27"/>
      <c r="EQ38" s="27"/>
      <c r="ER38" s="27"/>
      <c r="ES38" s="27"/>
      <c r="ET38" s="27"/>
      <c r="EU38" s="27"/>
      <c r="EV38" s="27"/>
      <c r="EW38" s="27"/>
      <c r="EX38" s="27"/>
      <c r="EY38" s="27"/>
      <c r="EZ38" s="27"/>
      <c r="FA38" s="27"/>
      <c r="FB38" s="27"/>
      <c r="FC38" s="27"/>
      <c r="FD38" s="27"/>
      <c r="FE38" s="27"/>
      <c r="FF38" s="27"/>
      <c r="FG38" s="27"/>
      <c r="FH38" s="27"/>
      <c r="FI38" s="27"/>
      <c r="FJ38" s="27"/>
      <c r="FK38" s="27"/>
      <c r="FL38" s="27"/>
      <c r="FM38" s="27"/>
      <c r="FN38" s="27"/>
      <c r="FO38" s="27"/>
      <c r="FP38" s="27"/>
      <c r="FQ38" s="27"/>
      <c r="FR38" s="27"/>
      <c r="FS38" s="27"/>
      <c r="FT38" s="27"/>
      <c r="FU38" s="27"/>
      <c r="FV38" s="27"/>
      <c r="FW38" s="27"/>
      <c r="FX38" s="27"/>
      <c r="FY38" s="27"/>
      <c r="FZ38" s="27"/>
      <c r="GA38" s="27"/>
      <c r="GB38" s="27"/>
      <c r="GC38" s="27"/>
      <c r="GD38" s="27"/>
      <c r="GE38" s="27"/>
      <c r="GF38" s="27"/>
      <c r="GG38" s="27"/>
      <c r="GH38" s="27"/>
      <c r="GI38" s="27"/>
      <c r="GJ38" s="27"/>
      <c r="GK38" s="27"/>
      <c r="GL38" s="27"/>
      <c r="GM38" s="27"/>
      <c r="GN38" s="27"/>
      <c r="GO38" s="27"/>
      <c r="GP38" s="27"/>
      <c r="GQ38" s="27"/>
      <c r="GR38" s="27"/>
      <c r="GS38" s="27"/>
      <c r="GT38" s="27"/>
      <c r="GU38" s="27"/>
      <c r="GV38" s="27"/>
      <c r="GW38" s="27"/>
      <c r="GX38" s="27"/>
      <c r="GY38" s="27"/>
      <c r="GZ38" s="27"/>
      <c r="HA38" s="27"/>
      <c r="HB38" s="27"/>
      <c r="HC38" s="27"/>
      <c r="HD38" s="27"/>
      <c r="HE38" s="27"/>
      <c r="HF38" s="27"/>
      <c r="HG38" s="27"/>
      <c r="HH38" s="27"/>
      <c r="HI38" s="27"/>
      <c r="HJ38" s="27"/>
      <c r="HK38" s="27"/>
      <c r="HL38" s="27"/>
      <c r="HM38" s="27"/>
      <c r="HN38" s="27"/>
      <c r="HO38" s="27"/>
      <c r="HP38" s="27"/>
      <c r="HQ38" s="27"/>
      <c r="HR38" s="27"/>
      <c r="HS38" s="27"/>
      <c r="HT38" s="27"/>
      <c r="HU38" s="27"/>
      <c r="HV38" s="27"/>
      <c r="HW38" s="27"/>
      <c r="HX38" s="27"/>
      <c r="HY38" s="27"/>
      <c r="HZ38" s="27"/>
      <c r="IA38" s="27"/>
      <c r="IB38" s="27"/>
      <c r="IC38" s="27"/>
      <c r="ID38" s="27"/>
      <c r="IE38" s="27"/>
      <c r="IF38" s="27"/>
      <c r="IG38" s="27"/>
      <c r="IH38" s="27"/>
      <c r="II38" s="27"/>
      <c r="IJ38" s="27"/>
      <c r="IK38" s="27"/>
      <c r="IL38" s="27"/>
      <c r="IM38" s="27"/>
      <c r="IN38" s="27"/>
      <c r="IO38" s="27"/>
      <c r="IP38" s="27"/>
      <c r="IQ38" s="27"/>
      <c r="IR38" s="27"/>
      <c r="IS38" s="27"/>
      <c r="IT38" s="27"/>
      <c r="IU38" s="27"/>
      <c r="IV38" s="27"/>
      <c r="IW38" s="27"/>
    </row>
    <row r="39" spans="1:257" ht="15.75" customHeight="1" x14ac:dyDescent="0.3">
      <c r="A39" s="7" t="str">
        <f>'02 Acts - Data'!C21</f>
        <v>Начальник участка ООО «Резонанс-Энерго» ______________________Борков Е.А</v>
      </c>
      <c r="B39" s="27"/>
      <c r="C39" s="7"/>
      <c r="D39" s="7"/>
      <c r="E39" s="7"/>
      <c r="F39" s="7"/>
      <c r="G39" s="7"/>
      <c r="H39" s="7"/>
      <c r="I39" s="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  <c r="CK39" s="27"/>
      <c r="CL39" s="27"/>
      <c r="CM39" s="27"/>
      <c r="CN39" s="27"/>
      <c r="CO39" s="27"/>
      <c r="CP39" s="27"/>
      <c r="CQ39" s="27"/>
      <c r="CR39" s="27"/>
      <c r="CS39" s="27"/>
      <c r="CT39" s="27"/>
      <c r="CU39" s="27"/>
      <c r="CV39" s="27"/>
      <c r="CW39" s="27"/>
      <c r="CX39" s="27"/>
      <c r="CY39" s="27"/>
      <c r="CZ39" s="27"/>
      <c r="DA39" s="27"/>
      <c r="DB39" s="27"/>
      <c r="DC39" s="27"/>
      <c r="DD39" s="27"/>
      <c r="DE39" s="27"/>
      <c r="DF39" s="27"/>
      <c r="DG39" s="27"/>
      <c r="DH39" s="27"/>
      <c r="DI39" s="27"/>
      <c r="DJ39" s="27"/>
      <c r="DK39" s="27"/>
      <c r="DL39" s="27"/>
      <c r="DM39" s="27"/>
      <c r="DN39" s="27"/>
      <c r="DO39" s="27"/>
      <c r="DP39" s="27"/>
      <c r="DQ39" s="27"/>
      <c r="DR39" s="27"/>
      <c r="DS39" s="27"/>
      <c r="DT39" s="27"/>
      <c r="DU39" s="27"/>
      <c r="DV39" s="27"/>
      <c r="DW39" s="27"/>
      <c r="DX39" s="27"/>
      <c r="DY39" s="27"/>
      <c r="DZ39" s="27"/>
      <c r="EA39" s="27"/>
      <c r="EB39" s="27"/>
      <c r="EC39" s="27"/>
      <c r="ED39" s="27"/>
      <c r="EE39" s="27"/>
      <c r="EF39" s="27"/>
      <c r="EG39" s="27"/>
      <c r="EH39" s="27"/>
      <c r="EI39" s="27"/>
      <c r="EJ39" s="27"/>
      <c r="EK39" s="27"/>
      <c r="EL39" s="27"/>
      <c r="EM39" s="27"/>
      <c r="EN39" s="27"/>
      <c r="EO39" s="27"/>
      <c r="EP39" s="27"/>
      <c r="EQ39" s="27"/>
      <c r="ER39" s="27"/>
      <c r="ES39" s="27"/>
      <c r="ET39" s="27"/>
      <c r="EU39" s="27"/>
      <c r="EV39" s="27"/>
      <c r="EW39" s="27"/>
      <c r="EX39" s="27"/>
      <c r="EY39" s="27"/>
      <c r="EZ39" s="27"/>
      <c r="FA39" s="27"/>
      <c r="FB39" s="27"/>
      <c r="FC39" s="27"/>
      <c r="FD39" s="27"/>
      <c r="FE39" s="27"/>
      <c r="FF39" s="27"/>
      <c r="FG39" s="27"/>
      <c r="FH39" s="27"/>
      <c r="FI39" s="27"/>
      <c r="FJ39" s="27"/>
      <c r="FK39" s="27"/>
      <c r="FL39" s="27"/>
      <c r="FM39" s="27"/>
      <c r="FN39" s="27"/>
      <c r="FO39" s="27"/>
      <c r="FP39" s="27"/>
      <c r="FQ39" s="27"/>
      <c r="FR39" s="27"/>
      <c r="FS39" s="27"/>
      <c r="FT39" s="27"/>
      <c r="FU39" s="27"/>
      <c r="FV39" s="27"/>
      <c r="FW39" s="27"/>
      <c r="FX39" s="27"/>
      <c r="FY39" s="27"/>
      <c r="FZ39" s="27"/>
      <c r="GA39" s="27"/>
      <c r="GB39" s="27"/>
      <c r="GC39" s="27"/>
      <c r="GD39" s="27"/>
      <c r="GE39" s="27"/>
      <c r="GF39" s="27"/>
      <c r="GG39" s="27"/>
      <c r="GH39" s="27"/>
      <c r="GI39" s="27"/>
      <c r="GJ39" s="27"/>
      <c r="GK39" s="27"/>
      <c r="GL39" s="27"/>
      <c r="GM39" s="27"/>
      <c r="GN39" s="27"/>
      <c r="GO39" s="27"/>
      <c r="GP39" s="27"/>
      <c r="GQ39" s="27"/>
      <c r="GR39" s="27"/>
      <c r="GS39" s="27"/>
      <c r="GT39" s="27"/>
      <c r="GU39" s="27"/>
      <c r="GV39" s="27"/>
      <c r="GW39" s="27"/>
      <c r="GX39" s="27"/>
      <c r="GY39" s="27"/>
      <c r="GZ39" s="27"/>
      <c r="HA39" s="27"/>
      <c r="HB39" s="27"/>
      <c r="HC39" s="27"/>
      <c r="HD39" s="27"/>
      <c r="HE39" s="27"/>
      <c r="HF39" s="27"/>
      <c r="HG39" s="27"/>
      <c r="HH39" s="27"/>
      <c r="HI39" s="27"/>
      <c r="HJ39" s="27"/>
      <c r="HK39" s="27"/>
      <c r="HL39" s="27"/>
      <c r="HM39" s="27"/>
      <c r="HN39" s="27"/>
      <c r="HO39" s="27"/>
      <c r="HP39" s="27"/>
      <c r="HQ39" s="27"/>
      <c r="HR39" s="27"/>
      <c r="HS39" s="27"/>
      <c r="HT39" s="27"/>
      <c r="HU39" s="27"/>
      <c r="HV39" s="27"/>
      <c r="HW39" s="27"/>
      <c r="HX39" s="27"/>
      <c r="HY39" s="27"/>
      <c r="HZ39" s="27"/>
      <c r="IA39" s="27"/>
      <c r="IB39" s="27"/>
      <c r="IC39" s="27"/>
      <c r="ID39" s="27"/>
      <c r="IE39" s="27"/>
      <c r="IF39" s="27"/>
      <c r="IG39" s="27"/>
      <c r="IH39" s="27"/>
      <c r="II39" s="27"/>
      <c r="IJ39" s="27"/>
      <c r="IK39" s="27"/>
      <c r="IL39" s="27"/>
      <c r="IM39" s="27"/>
      <c r="IN39" s="27"/>
      <c r="IO39" s="27"/>
      <c r="IP39" s="27"/>
      <c r="IQ39" s="27"/>
      <c r="IR39" s="27"/>
      <c r="IS39" s="27"/>
      <c r="IT39" s="27"/>
      <c r="IU39" s="27"/>
      <c r="IV39" s="27"/>
      <c r="IW39" s="27"/>
    </row>
    <row r="40" spans="1:257" ht="15.75" customHeight="1" x14ac:dyDescent="0.3">
      <c r="A40" s="7"/>
      <c r="B40" s="27"/>
      <c r="C40" s="7"/>
      <c r="D40" s="7"/>
      <c r="E40" s="7"/>
      <c r="F40" s="7"/>
      <c r="G40" s="7"/>
      <c r="H40" s="7"/>
      <c r="I40" s="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  <c r="CK40" s="27"/>
      <c r="CL40" s="27"/>
      <c r="CM40" s="27"/>
      <c r="CN40" s="27"/>
      <c r="CO40" s="27"/>
      <c r="CP40" s="27"/>
      <c r="CQ40" s="27"/>
      <c r="CR40" s="27"/>
      <c r="CS40" s="27"/>
      <c r="CT40" s="27"/>
      <c r="CU40" s="27"/>
      <c r="CV40" s="27"/>
      <c r="CW40" s="27"/>
      <c r="CX40" s="27"/>
      <c r="CY40" s="27"/>
      <c r="CZ40" s="27"/>
      <c r="DA40" s="27"/>
      <c r="DB40" s="27"/>
      <c r="DC40" s="27"/>
      <c r="DD40" s="27"/>
      <c r="DE40" s="27"/>
      <c r="DF40" s="27"/>
      <c r="DG40" s="27"/>
      <c r="DH40" s="27"/>
      <c r="DI40" s="27"/>
      <c r="DJ40" s="27"/>
      <c r="DK40" s="27"/>
      <c r="DL40" s="27"/>
      <c r="DM40" s="27"/>
      <c r="DN40" s="27"/>
      <c r="DO40" s="27"/>
      <c r="DP40" s="27"/>
      <c r="DQ40" s="27"/>
      <c r="DR40" s="27"/>
      <c r="DS40" s="27"/>
      <c r="DT40" s="27"/>
      <c r="DU40" s="27"/>
      <c r="DV40" s="27"/>
      <c r="DW40" s="27"/>
      <c r="DX40" s="27"/>
      <c r="DY40" s="27"/>
      <c r="DZ40" s="27"/>
      <c r="EA40" s="27"/>
      <c r="EB40" s="27"/>
      <c r="EC40" s="27"/>
      <c r="ED40" s="27"/>
      <c r="EE40" s="27"/>
      <c r="EF40" s="27"/>
      <c r="EG40" s="27"/>
      <c r="EH40" s="27"/>
      <c r="EI40" s="27"/>
      <c r="EJ40" s="27"/>
      <c r="EK40" s="27"/>
      <c r="EL40" s="27"/>
      <c r="EM40" s="27"/>
      <c r="EN40" s="27"/>
      <c r="EO40" s="27"/>
      <c r="EP40" s="27"/>
      <c r="EQ40" s="27"/>
      <c r="ER40" s="27"/>
      <c r="ES40" s="27"/>
      <c r="ET40" s="27"/>
      <c r="EU40" s="27"/>
      <c r="EV40" s="27"/>
      <c r="EW40" s="27"/>
      <c r="EX40" s="27"/>
      <c r="EY40" s="27"/>
      <c r="EZ40" s="27"/>
      <c r="FA40" s="27"/>
      <c r="FB40" s="27"/>
      <c r="FC40" s="27"/>
      <c r="FD40" s="27"/>
      <c r="FE40" s="27"/>
      <c r="FF40" s="27"/>
      <c r="FG40" s="27"/>
      <c r="FH40" s="27"/>
      <c r="FI40" s="27"/>
      <c r="FJ40" s="27"/>
      <c r="FK40" s="27"/>
      <c r="FL40" s="27"/>
      <c r="FM40" s="27"/>
      <c r="FN40" s="27"/>
      <c r="FO40" s="27"/>
      <c r="FP40" s="27"/>
      <c r="FQ40" s="27"/>
      <c r="FR40" s="27"/>
      <c r="FS40" s="27"/>
      <c r="FT40" s="27"/>
      <c r="FU40" s="27"/>
      <c r="FV40" s="27"/>
      <c r="FW40" s="27"/>
      <c r="FX40" s="27"/>
      <c r="FY40" s="27"/>
      <c r="FZ40" s="27"/>
      <c r="GA40" s="27"/>
      <c r="GB40" s="27"/>
      <c r="GC40" s="27"/>
      <c r="GD40" s="27"/>
      <c r="GE40" s="27"/>
      <c r="GF40" s="27"/>
      <c r="GG40" s="27"/>
      <c r="GH40" s="27"/>
      <c r="GI40" s="27"/>
      <c r="GJ40" s="27"/>
      <c r="GK40" s="27"/>
      <c r="GL40" s="27"/>
      <c r="GM40" s="27"/>
      <c r="GN40" s="27"/>
      <c r="GO40" s="27"/>
      <c r="GP40" s="27"/>
      <c r="GQ40" s="27"/>
      <c r="GR40" s="27"/>
      <c r="GS40" s="27"/>
      <c r="GT40" s="27"/>
      <c r="GU40" s="27"/>
      <c r="GV40" s="27"/>
      <c r="GW40" s="27"/>
      <c r="GX40" s="27"/>
      <c r="GY40" s="27"/>
      <c r="GZ40" s="27"/>
      <c r="HA40" s="27"/>
      <c r="HB40" s="27"/>
      <c r="HC40" s="27"/>
      <c r="HD40" s="27"/>
      <c r="HE40" s="27"/>
      <c r="HF40" s="27"/>
      <c r="HG40" s="27"/>
      <c r="HH40" s="27"/>
      <c r="HI40" s="27"/>
      <c r="HJ40" s="27"/>
      <c r="HK40" s="27"/>
      <c r="HL40" s="27"/>
      <c r="HM40" s="27"/>
      <c r="HN40" s="27"/>
      <c r="HO40" s="27"/>
      <c r="HP40" s="27"/>
      <c r="HQ40" s="27"/>
      <c r="HR40" s="27"/>
      <c r="HS40" s="27"/>
      <c r="HT40" s="27"/>
      <c r="HU40" s="27"/>
      <c r="HV40" s="27"/>
      <c r="HW40" s="27"/>
      <c r="HX40" s="27"/>
      <c r="HY40" s="27"/>
      <c r="HZ40" s="27"/>
      <c r="IA40" s="27"/>
      <c r="IB40" s="27"/>
      <c r="IC40" s="27"/>
      <c r="ID40" s="27"/>
      <c r="IE40" s="27"/>
      <c r="IF40" s="27"/>
      <c r="IG40" s="27"/>
      <c r="IH40" s="27"/>
      <c r="II40" s="27"/>
      <c r="IJ40" s="27"/>
      <c r="IK40" s="27"/>
      <c r="IL40" s="27"/>
      <c r="IM40" s="27"/>
      <c r="IN40" s="27"/>
      <c r="IO40" s="27"/>
      <c r="IP40" s="27"/>
      <c r="IQ40" s="27"/>
      <c r="IR40" s="27"/>
      <c r="IS40" s="27"/>
      <c r="IT40" s="27"/>
      <c r="IU40" s="27"/>
      <c r="IV40" s="27"/>
      <c r="IW40" s="27"/>
    </row>
    <row r="41" spans="1:257" ht="15.75" customHeight="1" x14ac:dyDescent="0.3">
      <c r="A41" s="7"/>
      <c r="B41" s="27"/>
      <c r="C41" s="7"/>
      <c r="D41" s="7"/>
      <c r="E41" s="7"/>
      <c r="F41" s="7"/>
      <c r="G41" s="7"/>
      <c r="H41" s="7"/>
      <c r="I41" s="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  <c r="CK41" s="27"/>
      <c r="CL41" s="27"/>
      <c r="CM41" s="27"/>
      <c r="CN41" s="27"/>
      <c r="CO41" s="27"/>
      <c r="CP41" s="27"/>
      <c r="CQ41" s="27"/>
      <c r="CR41" s="27"/>
      <c r="CS41" s="27"/>
      <c r="CT41" s="27"/>
      <c r="CU41" s="27"/>
      <c r="CV41" s="27"/>
      <c r="CW41" s="27"/>
      <c r="CX41" s="27"/>
      <c r="CY41" s="27"/>
      <c r="CZ41" s="27"/>
      <c r="DA41" s="27"/>
      <c r="DB41" s="27"/>
      <c r="DC41" s="27"/>
      <c r="DD41" s="27"/>
      <c r="DE41" s="27"/>
      <c r="DF41" s="27"/>
      <c r="DG41" s="27"/>
      <c r="DH41" s="27"/>
      <c r="DI41" s="27"/>
      <c r="DJ41" s="27"/>
      <c r="DK41" s="27"/>
      <c r="DL41" s="27"/>
      <c r="DM41" s="27"/>
      <c r="DN41" s="27"/>
      <c r="DO41" s="27"/>
      <c r="DP41" s="27"/>
      <c r="DQ41" s="27"/>
      <c r="DR41" s="27"/>
      <c r="DS41" s="27"/>
      <c r="DT41" s="27"/>
      <c r="DU41" s="27"/>
      <c r="DV41" s="27"/>
      <c r="DW41" s="27"/>
      <c r="DX41" s="27"/>
      <c r="DY41" s="27"/>
      <c r="DZ41" s="27"/>
      <c r="EA41" s="27"/>
      <c r="EB41" s="27"/>
      <c r="EC41" s="27"/>
      <c r="ED41" s="27"/>
      <c r="EE41" s="27"/>
      <c r="EF41" s="27"/>
      <c r="EG41" s="27"/>
      <c r="EH41" s="27"/>
      <c r="EI41" s="27"/>
      <c r="EJ41" s="27"/>
      <c r="EK41" s="27"/>
      <c r="EL41" s="27"/>
      <c r="EM41" s="27"/>
      <c r="EN41" s="27"/>
      <c r="EO41" s="27"/>
      <c r="EP41" s="27"/>
      <c r="EQ41" s="27"/>
      <c r="ER41" s="27"/>
      <c r="ES41" s="27"/>
      <c r="ET41" s="27"/>
      <c r="EU41" s="27"/>
      <c r="EV41" s="27"/>
      <c r="EW41" s="27"/>
      <c r="EX41" s="27"/>
      <c r="EY41" s="27"/>
      <c r="EZ41" s="27"/>
      <c r="FA41" s="27"/>
      <c r="FB41" s="27"/>
      <c r="FC41" s="27"/>
      <c r="FD41" s="27"/>
      <c r="FE41" s="27"/>
      <c r="FF41" s="27"/>
      <c r="FG41" s="27"/>
      <c r="FH41" s="27"/>
      <c r="FI41" s="27"/>
      <c r="FJ41" s="27"/>
      <c r="FK41" s="27"/>
      <c r="FL41" s="27"/>
      <c r="FM41" s="27"/>
      <c r="FN41" s="27"/>
      <c r="FO41" s="27"/>
      <c r="FP41" s="27"/>
      <c r="FQ41" s="27"/>
      <c r="FR41" s="27"/>
      <c r="FS41" s="27"/>
      <c r="FT41" s="27"/>
      <c r="FU41" s="27"/>
      <c r="FV41" s="27"/>
      <c r="FW41" s="27"/>
      <c r="FX41" s="27"/>
      <c r="FY41" s="27"/>
      <c r="FZ41" s="27"/>
      <c r="GA41" s="27"/>
      <c r="GB41" s="27"/>
      <c r="GC41" s="27"/>
      <c r="GD41" s="27"/>
      <c r="GE41" s="27"/>
      <c r="GF41" s="27"/>
      <c r="GG41" s="27"/>
      <c r="GH41" s="27"/>
      <c r="GI41" s="27"/>
      <c r="GJ41" s="27"/>
      <c r="GK41" s="27"/>
      <c r="GL41" s="27"/>
      <c r="GM41" s="27"/>
      <c r="GN41" s="27"/>
      <c r="GO41" s="27"/>
      <c r="GP41" s="27"/>
      <c r="GQ41" s="27"/>
      <c r="GR41" s="27"/>
      <c r="GS41" s="27"/>
      <c r="GT41" s="27"/>
      <c r="GU41" s="27"/>
      <c r="GV41" s="27"/>
      <c r="GW41" s="27"/>
      <c r="GX41" s="27"/>
      <c r="GY41" s="27"/>
      <c r="GZ41" s="27"/>
      <c r="HA41" s="27"/>
      <c r="HB41" s="27"/>
      <c r="HC41" s="27"/>
      <c r="HD41" s="27"/>
      <c r="HE41" s="27"/>
      <c r="HF41" s="27"/>
      <c r="HG41" s="27"/>
      <c r="HH41" s="27"/>
      <c r="HI41" s="27"/>
      <c r="HJ41" s="27"/>
      <c r="HK41" s="27"/>
      <c r="HL41" s="27"/>
      <c r="HM41" s="27"/>
      <c r="HN41" s="27"/>
      <c r="HO41" s="27"/>
      <c r="HP41" s="27"/>
      <c r="HQ41" s="27"/>
      <c r="HR41" s="27"/>
      <c r="HS41" s="27"/>
      <c r="HT41" s="27"/>
      <c r="HU41" s="27"/>
      <c r="HV41" s="27"/>
      <c r="HW41" s="27"/>
      <c r="HX41" s="27"/>
      <c r="HY41" s="27"/>
      <c r="HZ41" s="27"/>
      <c r="IA41" s="27"/>
      <c r="IB41" s="27"/>
      <c r="IC41" s="27"/>
      <c r="ID41" s="27"/>
      <c r="IE41" s="27"/>
      <c r="IF41" s="27"/>
      <c r="IG41" s="27"/>
      <c r="IH41" s="27"/>
      <c r="II41" s="27"/>
      <c r="IJ41" s="27"/>
      <c r="IK41" s="27"/>
      <c r="IL41" s="27"/>
      <c r="IM41" s="27"/>
      <c r="IN41" s="27"/>
      <c r="IO41" s="27"/>
      <c r="IP41" s="27"/>
      <c r="IQ41" s="27"/>
      <c r="IR41" s="27"/>
      <c r="IS41" s="27"/>
      <c r="IT41" s="27"/>
      <c r="IU41" s="27"/>
      <c r="IV41" s="27"/>
      <c r="IW41" s="27"/>
    </row>
    <row r="42" spans="1:257" ht="15.75" customHeight="1" x14ac:dyDescent="0.3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  <c r="CK42" s="27"/>
      <c r="CL42" s="27"/>
      <c r="CM42" s="27"/>
      <c r="CN42" s="27"/>
      <c r="CO42" s="27"/>
      <c r="CP42" s="27"/>
      <c r="CQ42" s="27"/>
      <c r="CR42" s="27"/>
      <c r="CS42" s="27"/>
      <c r="CT42" s="27"/>
      <c r="CU42" s="27"/>
      <c r="CV42" s="27"/>
      <c r="CW42" s="27"/>
      <c r="CX42" s="27"/>
      <c r="CY42" s="27"/>
      <c r="CZ42" s="27"/>
      <c r="DA42" s="27"/>
      <c r="DB42" s="27"/>
      <c r="DC42" s="27"/>
      <c r="DD42" s="27"/>
      <c r="DE42" s="27"/>
      <c r="DF42" s="27"/>
      <c r="DG42" s="27"/>
      <c r="DH42" s="27"/>
      <c r="DI42" s="27"/>
      <c r="DJ42" s="27"/>
      <c r="DK42" s="27"/>
      <c r="DL42" s="27"/>
      <c r="DM42" s="27"/>
      <c r="DN42" s="27"/>
      <c r="DO42" s="27"/>
      <c r="DP42" s="27"/>
      <c r="DQ42" s="27"/>
      <c r="DR42" s="27"/>
      <c r="DS42" s="27"/>
      <c r="DT42" s="27"/>
      <c r="DU42" s="27"/>
      <c r="DV42" s="27"/>
      <c r="DW42" s="27"/>
      <c r="DX42" s="27"/>
      <c r="DY42" s="27"/>
      <c r="DZ42" s="27"/>
      <c r="EA42" s="27"/>
      <c r="EB42" s="27"/>
      <c r="EC42" s="27"/>
      <c r="ED42" s="27"/>
      <c r="EE42" s="27"/>
      <c r="EF42" s="27"/>
      <c r="EG42" s="27"/>
      <c r="EH42" s="27"/>
      <c r="EI42" s="27"/>
      <c r="EJ42" s="27"/>
      <c r="EK42" s="27"/>
      <c r="EL42" s="27"/>
      <c r="EM42" s="27"/>
      <c r="EN42" s="27"/>
      <c r="EO42" s="27"/>
      <c r="EP42" s="27"/>
      <c r="EQ42" s="27"/>
      <c r="ER42" s="27"/>
      <c r="ES42" s="27"/>
      <c r="ET42" s="27"/>
      <c r="EU42" s="27"/>
      <c r="EV42" s="27"/>
      <c r="EW42" s="27"/>
      <c r="EX42" s="27"/>
      <c r="EY42" s="27"/>
      <c r="EZ42" s="27"/>
      <c r="FA42" s="27"/>
      <c r="FB42" s="27"/>
      <c r="FC42" s="27"/>
      <c r="FD42" s="27"/>
      <c r="FE42" s="27"/>
      <c r="FF42" s="27"/>
      <c r="FG42" s="27"/>
      <c r="FH42" s="27"/>
      <c r="FI42" s="27"/>
      <c r="FJ42" s="27"/>
      <c r="FK42" s="27"/>
      <c r="FL42" s="27"/>
      <c r="FM42" s="27"/>
      <c r="FN42" s="27"/>
      <c r="FO42" s="27"/>
      <c r="FP42" s="27"/>
      <c r="FQ42" s="27"/>
      <c r="FR42" s="27"/>
      <c r="FS42" s="27"/>
      <c r="FT42" s="27"/>
      <c r="FU42" s="27"/>
      <c r="FV42" s="27"/>
      <c r="FW42" s="27"/>
      <c r="FX42" s="27"/>
      <c r="FY42" s="27"/>
      <c r="FZ42" s="27"/>
      <c r="GA42" s="27"/>
      <c r="GB42" s="27"/>
      <c r="GC42" s="27"/>
      <c r="GD42" s="27"/>
      <c r="GE42" s="27"/>
      <c r="GF42" s="27"/>
      <c r="GG42" s="27"/>
      <c r="GH42" s="27"/>
      <c r="GI42" s="27"/>
      <c r="GJ42" s="27"/>
      <c r="GK42" s="27"/>
      <c r="GL42" s="27"/>
      <c r="GM42" s="27"/>
      <c r="GN42" s="27"/>
      <c r="GO42" s="27"/>
      <c r="GP42" s="27"/>
      <c r="GQ42" s="27"/>
      <c r="GR42" s="27"/>
      <c r="GS42" s="27"/>
      <c r="GT42" s="27"/>
      <c r="GU42" s="27"/>
      <c r="GV42" s="27"/>
      <c r="GW42" s="27"/>
      <c r="GX42" s="27"/>
      <c r="GY42" s="27"/>
      <c r="GZ42" s="27"/>
      <c r="HA42" s="27"/>
      <c r="HB42" s="27"/>
      <c r="HC42" s="27"/>
      <c r="HD42" s="27"/>
      <c r="HE42" s="27"/>
      <c r="HF42" s="27"/>
      <c r="HG42" s="27"/>
      <c r="HH42" s="27"/>
      <c r="HI42" s="27"/>
      <c r="HJ42" s="27"/>
      <c r="HK42" s="27"/>
      <c r="HL42" s="27"/>
      <c r="HM42" s="27"/>
      <c r="HN42" s="27"/>
      <c r="HO42" s="27"/>
      <c r="HP42" s="27"/>
      <c r="HQ42" s="27"/>
      <c r="HR42" s="27"/>
      <c r="HS42" s="27"/>
      <c r="HT42" s="27"/>
      <c r="HU42" s="27"/>
      <c r="HV42" s="27"/>
      <c r="HW42" s="27"/>
      <c r="HX42" s="27"/>
      <c r="HY42" s="27"/>
      <c r="HZ42" s="27"/>
      <c r="IA42" s="27"/>
      <c r="IB42" s="27"/>
      <c r="IC42" s="27"/>
      <c r="ID42" s="27"/>
      <c r="IE42" s="27"/>
      <c r="IF42" s="27"/>
      <c r="IG42" s="27"/>
      <c r="IH42" s="27"/>
      <c r="II42" s="27"/>
      <c r="IJ42" s="27"/>
      <c r="IK42" s="27"/>
      <c r="IL42" s="27"/>
      <c r="IM42" s="27"/>
      <c r="IN42" s="27"/>
      <c r="IO42" s="27"/>
      <c r="IP42" s="27"/>
      <c r="IQ42" s="27"/>
      <c r="IR42" s="27"/>
      <c r="IS42" s="27"/>
      <c r="IT42" s="27"/>
      <c r="IU42" s="27"/>
      <c r="IV42" s="27"/>
      <c r="IW42" s="27"/>
    </row>
    <row r="43" spans="1:257" ht="15.75" customHeight="1" x14ac:dyDescent="0.3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  <c r="CK43" s="27"/>
      <c r="CL43" s="27"/>
      <c r="CM43" s="27"/>
      <c r="CN43" s="27"/>
      <c r="CO43" s="27"/>
      <c r="CP43" s="27"/>
      <c r="CQ43" s="27"/>
      <c r="CR43" s="27"/>
      <c r="CS43" s="27"/>
      <c r="CT43" s="27"/>
      <c r="CU43" s="27"/>
      <c r="CV43" s="27"/>
      <c r="CW43" s="27"/>
      <c r="CX43" s="27"/>
      <c r="CY43" s="27"/>
      <c r="CZ43" s="27"/>
      <c r="DA43" s="27"/>
      <c r="DB43" s="27"/>
      <c r="DC43" s="27"/>
      <c r="DD43" s="27"/>
      <c r="DE43" s="27"/>
      <c r="DF43" s="27"/>
      <c r="DG43" s="27"/>
      <c r="DH43" s="27"/>
      <c r="DI43" s="27"/>
      <c r="DJ43" s="27"/>
      <c r="DK43" s="27"/>
      <c r="DL43" s="27"/>
      <c r="DM43" s="27"/>
      <c r="DN43" s="27"/>
      <c r="DO43" s="27"/>
      <c r="DP43" s="27"/>
      <c r="DQ43" s="27"/>
      <c r="DR43" s="27"/>
      <c r="DS43" s="27"/>
      <c r="DT43" s="27"/>
      <c r="DU43" s="27"/>
      <c r="DV43" s="27"/>
      <c r="DW43" s="27"/>
      <c r="DX43" s="27"/>
      <c r="DY43" s="27"/>
      <c r="DZ43" s="27"/>
      <c r="EA43" s="27"/>
      <c r="EB43" s="27"/>
      <c r="EC43" s="27"/>
      <c r="ED43" s="27"/>
      <c r="EE43" s="27"/>
      <c r="EF43" s="27"/>
      <c r="EG43" s="27"/>
      <c r="EH43" s="27"/>
      <c r="EI43" s="27"/>
      <c r="EJ43" s="27"/>
      <c r="EK43" s="27"/>
      <c r="EL43" s="27"/>
      <c r="EM43" s="27"/>
      <c r="EN43" s="27"/>
      <c r="EO43" s="27"/>
      <c r="EP43" s="27"/>
      <c r="EQ43" s="27"/>
      <c r="ER43" s="27"/>
      <c r="ES43" s="27"/>
      <c r="ET43" s="27"/>
      <c r="EU43" s="27"/>
      <c r="EV43" s="27"/>
      <c r="EW43" s="27"/>
      <c r="EX43" s="27"/>
      <c r="EY43" s="27"/>
      <c r="EZ43" s="27"/>
      <c r="FA43" s="27"/>
      <c r="FB43" s="27"/>
      <c r="FC43" s="27"/>
      <c r="FD43" s="27"/>
      <c r="FE43" s="27"/>
      <c r="FF43" s="27"/>
      <c r="FG43" s="27"/>
      <c r="FH43" s="27"/>
      <c r="FI43" s="27"/>
      <c r="FJ43" s="27"/>
      <c r="FK43" s="27"/>
      <c r="FL43" s="27"/>
      <c r="FM43" s="27"/>
      <c r="FN43" s="27"/>
      <c r="FO43" s="27"/>
      <c r="FP43" s="27"/>
      <c r="FQ43" s="27"/>
      <c r="FR43" s="27"/>
      <c r="FS43" s="27"/>
      <c r="FT43" s="27"/>
      <c r="FU43" s="27"/>
      <c r="FV43" s="27"/>
      <c r="FW43" s="27"/>
      <c r="FX43" s="27"/>
      <c r="FY43" s="27"/>
      <c r="FZ43" s="27"/>
      <c r="GA43" s="27"/>
      <c r="GB43" s="27"/>
      <c r="GC43" s="27"/>
      <c r="GD43" s="27"/>
      <c r="GE43" s="27"/>
      <c r="GF43" s="27"/>
      <c r="GG43" s="27"/>
      <c r="GH43" s="27"/>
      <c r="GI43" s="27"/>
      <c r="GJ43" s="27"/>
      <c r="GK43" s="27"/>
      <c r="GL43" s="27"/>
      <c r="GM43" s="27"/>
      <c r="GN43" s="27"/>
      <c r="GO43" s="27"/>
      <c r="GP43" s="27"/>
      <c r="GQ43" s="27"/>
      <c r="GR43" s="27"/>
      <c r="GS43" s="27"/>
      <c r="GT43" s="27"/>
      <c r="GU43" s="27"/>
      <c r="GV43" s="27"/>
      <c r="GW43" s="27"/>
      <c r="GX43" s="27"/>
      <c r="GY43" s="27"/>
      <c r="GZ43" s="27"/>
      <c r="HA43" s="27"/>
      <c r="HB43" s="27"/>
      <c r="HC43" s="27"/>
      <c r="HD43" s="27"/>
      <c r="HE43" s="27"/>
      <c r="HF43" s="27"/>
      <c r="HG43" s="27"/>
      <c r="HH43" s="27"/>
      <c r="HI43" s="27"/>
      <c r="HJ43" s="27"/>
      <c r="HK43" s="27"/>
      <c r="HL43" s="27"/>
      <c r="HM43" s="27"/>
      <c r="HN43" s="27"/>
      <c r="HO43" s="27"/>
      <c r="HP43" s="27"/>
      <c r="HQ43" s="27"/>
      <c r="HR43" s="27"/>
      <c r="HS43" s="27"/>
      <c r="HT43" s="27"/>
      <c r="HU43" s="27"/>
      <c r="HV43" s="27"/>
      <c r="HW43" s="27"/>
      <c r="HX43" s="27"/>
      <c r="HY43" s="27"/>
      <c r="HZ43" s="27"/>
      <c r="IA43" s="27"/>
      <c r="IB43" s="27"/>
      <c r="IC43" s="27"/>
      <c r="ID43" s="27"/>
      <c r="IE43" s="27"/>
      <c r="IF43" s="27"/>
      <c r="IG43" s="27"/>
      <c r="IH43" s="27"/>
      <c r="II43" s="27"/>
      <c r="IJ43" s="27"/>
      <c r="IK43" s="27"/>
      <c r="IL43" s="27"/>
      <c r="IM43" s="27"/>
      <c r="IN43" s="27"/>
      <c r="IO43" s="27"/>
      <c r="IP43" s="27"/>
      <c r="IQ43" s="27"/>
      <c r="IR43" s="27"/>
      <c r="IS43" s="27"/>
      <c r="IT43" s="27"/>
      <c r="IU43" s="27"/>
      <c r="IV43" s="27"/>
      <c r="IW43" s="27"/>
    </row>
    <row r="44" spans="1:257" ht="15.75" customHeight="1" x14ac:dyDescent="0.3"/>
    <row r="45" spans="1:257" ht="15.75" customHeight="1" x14ac:dyDescent="0.3"/>
    <row r="46" spans="1:257" ht="15.75" customHeight="1" x14ac:dyDescent="0.3"/>
    <row r="47" spans="1:257" ht="15.75" customHeight="1" x14ac:dyDescent="0.3"/>
    <row r="48" spans="1:257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</sheetData>
  <mergeCells count="12">
    <mergeCell ref="C3:K3"/>
    <mergeCell ref="G4:J4"/>
    <mergeCell ref="A5:B5"/>
    <mergeCell ref="G5:K5"/>
    <mergeCell ref="A6:K6"/>
    <mergeCell ref="D29:F29"/>
    <mergeCell ref="A31:K31"/>
    <mergeCell ref="A7:K7"/>
    <mergeCell ref="E14:G14"/>
    <mergeCell ref="D23:F23"/>
    <mergeCell ref="E25:J25"/>
    <mergeCell ref="D27:F27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W73"/>
  <sheetViews>
    <sheetView zoomScaleNormal="100" workbookViewId="0"/>
  </sheetViews>
  <sheetFormatPr defaultColWidth="8.6640625" defaultRowHeight="15" customHeight="1" x14ac:dyDescent="0.3"/>
  <cols>
    <col min="1" max="1" width="4.109375" customWidth="1"/>
    <col min="2" max="2" width="13.6640625" customWidth="1"/>
    <col min="3" max="3" width="16.5546875" customWidth="1"/>
    <col min="4" max="4" width="10.88671875" customWidth="1"/>
    <col min="5" max="5" width="6.44140625" customWidth="1"/>
    <col min="6" max="6" width="8.5546875" customWidth="1"/>
    <col min="7" max="7" width="10.88671875" customWidth="1"/>
    <col min="8" max="8" width="9.21875" customWidth="1"/>
    <col min="10" max="10" width="8.44140625" customWidth="1"/>
    <col min="11" max="11" width="13" customWidth="1"/>
    <col min="12" max="12" width="0.21875" customWidth="1"/>
    <col min="13" max="13" width="9.109375" customWidth="1"/>
  </cols>
  <sheetData>
    <row r="1" spans="1:257" ht="13.5" customHeight="1" x14ac:dyDescent="0.3">
      <c r="B1" s="19" t="s">
        <v>57</v>
      </c>
      <c r="C1" s="20" t="str">
        <f>'02 Acts - Data'!B14</f>
        <v>ГКУ «УДМС»</v>
      </c>
      <c r="D1" s="20"/>
      <c r="E1" s="20"/>
      <c r="F1" s="20"/>
      <c r="G1" s="21"/>
      <c r="H1" s="20"/>
      <c r="I1" s="20"/>
      <c r="J1" s="20"/>
      <c r="K1" s="20"/>
    </row>
    <row r="2" spans="1:257" ht="13.5" customHeight="1" x14ac:dyDescent="0.3">
      <c r="B2" s="19" t="s">
        <v>75</v>
      </c>
      <c r="C2" s="20" t="str">
        <f>'02 Acts - Data'!B15</f>
        <v>ООО «Резонанс-Энерго»</v>
      </c>
      <c r="D2" s="20"/>
      <c r="E2" s="20"/>
      <c r="F2" s="20"/>
      <c r="G2" s="21"/>
      <c r="H2" s="20"/>
      <c r="I2" s="20"/>
      <c r="J2" s="20"/>
      <c r="K2" s="20"/>
    </row>
    <row r="3" spans="1:257" ht="39" customHeight="1" x14ac:dyDescent="0.3">
      <c r="A3" s="44"/>
      <c r="B3" s="22" t="s">
        <v>59</v>
      </c>
      <c r="C3" s="75" t="str">
        <f>'02 Acts - Data'!B4</f>
        <v>"Строительство улично-дорожной сети с искусственными сооружениями и переустройством инженерных коммуникаций на участке от ул. Маршала Шестопалова до Павелецкого направления Московской железной дороги"</v>
      </c>
      <c r="D3" s="75"/>
      <c r="E3" s="75"/>
      <c r="F3" s="75"/>
      <c r="G3" s="75"/>
      <c r="H3" s="75"/>
      <c r="I3" s="75"/>
      <c r="J3" s="75"/>
      <c r="K3" s="75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4"/>
      <c r="AL3" s="44"/>
      <c r="AM3" s="44"/>
      <c r="AN3" s="44"/>
      <c r="AO3" s="44"/>
      <c r="AP3" s="44"/>
      <c r="AQ3" s="44"/>
      <c r="AR3" s="44"/>
      <c r="AS3" s="44"/>
      <c r="AT3" s="44"/>
      <c r="AU3" s="44"/>
      <c r="AV3" s="44"/>
      <c r="AW3" s="44"/>
      <c r="AX3" s="44"/>
      <c r="AY3" s="44"/>
      <c r="AZ3" s="44"/>
      <c r="BA3" s="44"/>
      <c r="BB3" s="44"/>
      <c r="BC3" s="44"/>
      <c r="BD3" s="44"/>
      <c r="BE3" s="44"/>
      <c r="BF3" s="44"/>
      <c r="BG3" s="44"/>
      <c r="BH3" s="44"/>
      <c r="BI3" s="44"/>
      <c r="BJ3" s="44"/>
      <c r="BK3" s="44"/>
      <c r="BL3" s="44"/>
      <c r="BM3" s="44"/>
      <c r="BN3" s="44"/>
      <c r="BO3" s="44"/>
      <c r="BP3" s="44"/>
      <c r="BQ3" s="44"/>
      <c r="BR3" s="44"/>
      <c r="BS3" s="44"/>
      <c r="BT3" s="44"/>
      <c r="BU3" s="44"/>
      <c r="BV3" s="44"/>
      <c r="BW3" s="44"/>
      <c r="BX3" s="44"/>
      <c r="BY3" s="44"/>
      <c r="BZ3" s="44"/>
      <c r="CA3" s="44"/>
      <c r="CB3" s="44"/>
      <c r="CC3" s="44"/>
      <c r="CD3" s="44"/>
      <c r="CE3" s="44"/>
      <c r="CF3" s="44"/>
      <c r="CG3" s="44"/>
      <c r="CH3" s="44"/>
      <c r="CI3" s="44"/>
      <c r="CJ3" s="44"/>
      <c r="CK3" s="44"/>
      <c r="CL3" s="44"/>
      <c r="CM3" s="44"/>
      <c r="CN3" s="44"/>
      <c r="CO3" s="44"/>
      <c r="CP3" s="44"/>
      <c r="CQ3" s="44"/>
      <c r="CR3" s="44"/>
      <c r="CS3" s="44"/>
      <c r="CT3" s="44"/>
      <c r="CU3" s="44"/>
      <c r="CV3" s="44"/>
      <c r="CW3" s="44"/>
      <c r="CX3" s="44"/>
      <c r="CY3" s="44"/>
      <c r="CZ3" s="44"/>
      <c r="DA3" s="44"/>
      <c r="DB3" s="44"/>
      <c r="DC3" s="44"/>
      <c r="DD3" s="44"/>
      <c r="DE3" s="44"/>
      <c r="DF3" s="44"/>
      <c r="DG3" s="44"/>
      <c r="DH3" s="44"/>
      <c r="DI3" s="44"/>
      <c r="DJ3" s="44"/>
      <c r="DK3" s="44"/>
      <c r="DL3" s="44"/>
      <c r="DM3" s="44"/>
      <c r="DN3" s="44"/>
      <c r="DO3" s="44"/>
      <c r="DP3" s="44"/>
      <c r="DQ3" s="44"/>
      <c r="DR3" s="44"/>
      <c r="DS3" s="44"/>
      <c r="DT3" s="44"/>
      <c r="DU3" s="44"/>
      <c r="DV3" s="44"/>
      <c r="DW3" s="44"/>
      <c r="DX3" s="44"/>
      <c r="DY3" s="44"/>
      <c r="DZ3" s="44"/>
      <c r="EA3" s="44"/>
      <c r="EB3" s="44"/>
      <c r="EC3" s="44"/>
      <c r="ED3" s="44"/>
      <c r="EE3" s="44"/>
      <c r="EF3" s="44"/>
      <c r="EG3" s="44"/>
      <c r="EH3" s="44"/>
      <c r="EI3" s="44"/>
      <c r="EJ3" s="44"/>
      <c r="EK3" s="44"/>
      <c r="EL3" s="44"/>
      <c r="EM3" s="44"/>
      <c r="EN3" s="44"/>
      <c r="EO3" s="44"/>
      <c r="EP3" s="44"/>
      <c r="EQ3" s="44"/>
      <c r="ER3" s="44"/>
      <c r="ES3" s="44"/>
      <c r="ET3" s="44"/>
      <c r="EU3" s="44"/>
      <c r="EV3" s="44"/>
      <c r="EW3" s="44"/>
      <c r="EX3" s="44"/>
      <c r="EY3" s="44"/>
      <c r="EZ3" s="44"/>
      <c r="FA3" s="44"/>
      <c r="FB3" s="44"/>
      <c r="FC3" s="44"/>
      <c r="FD3" s="44"/>
      <c r="FE3" s="44"/>
      <c r="FF3" s="44"/>
      <c r="FG3" s="44"/>
      <c r="FH3" s="44"/>
      <c r="FI3" s="44"/>
      <c r="FJ3" s="44"/>
      <c r="FK3" s="44"/>
      <c r="FL3" s="44"/>
      <c r="FM3" s="44"/>
      <c r="FN3" s="44"/>
      <c r="FO3" s="44"/>
      <c r="FP3" s="44"/>
      <c r="FQ3" s="44"/>
      <c r="FR3" s="44"/>
      <c r="FS3" s="44"/>
      <c r="FT3" s="44"/>
      <c r="FU3" s="44"/>
      <c r="FV3" s="44"/>
      <c r="FW3" s="44"/>
      <c r="FX3" s="44"/>
      <c r="FY3" s="44"/>
      <c r="FZ3" s="44"/>
      <c r="GA3" s="44"/>
      <c r="GB3" s="44"/>
      <c r="GC3" s="44"/>
      <c r="GD3" s="44"/>
      <c r="GE3" s="44"/>
      <c r="GF3" s="44"/>
      <c r="GG3" s="44"/>
      <c r="GH3" s="44"/>
      <c r="GI3" s="44"/>
      <c r="GJ3" s="44"/>
      <c r="GK3" s="44"/>
      <c r="GL3" s="44"/>
      <c r="GM3" s="44"/>
      <c r="GN3" s="44"/>
      <c r="GO3" s="44"/>
      <c r="GP3" s="44"/>
      <c r="GQ3" s="44"/>
      <c r="GR3" s="44"/>
      <c r="GS3" s="44"/>
      <c r="GT3" s="44"/>
      <c r="GU3" s="44"/>
      <c r="GV3" s="44"/>
      <c r="GW3" s="44"/>
      <c r="GX3" s="44"/>
      <c r="GY3" s="44"/>
      <c r="GZ3" s="44"/>
      <c r="HA3" s="44"/>
      <c r="HB3" s="44"/>
      <c r="HC3" s="44"/>
      <c r="HD3" s="44"/>
      <c r="HE3" s="44"/>
      <c r="HF3" s="44"/>
      <c r="HG3" s="44"/>
      <c r="HH3" s="44"/>
      <c r="HI3" s="44"/>
      <c r="HJ3" s="44"/>
      <c r="HK3" s="44"/>
      <c r="HL3" s="44"/>
      <c r="HM3" s="44"/>
      <c r="HN3" s="44"/>
      <c r="HO3" s="44"/>
      <c r="HP3" s="44"/>
      <c r="HQ3" s="44"/>
      <c r="HR3" s="44"/>
      <c r="HS3" s="44"/>
      <c r="HT3" s="44"/>
      <c r="HU3" s="44"/>
      <c r="HV3" s="44"/>
      <c r="HW3" s="44"/>
      <c r="HX3" s="44"/>
      <c r="HY3" s="44"/>
      <c r="HZ3" s="44"/>
      <c r="IA3" s="44"/>
      <c r="IB3" s="44"/>
      <c r="IC3" s="44"/>
      <c r="ID3" s="44"/>
      <c r="IE3" s="44"/>
      <c r="IF3" s="44"/>
      <c r="IG3" s="44"/>
      <c r="IH3" s="44"/>
      <c r="II3" s="44"/>
      <c r="IJ3" s="44"/>
      <c r="IK3" s="44"/>
      <c r="IL3" s="44"/>
      <c r="IM3" s="44"/>
      <c r="IN3" s="44"/>
      <c r="IO3" s="44"/>
      <c r="IP3" s="44"/>
      <c r="IQ3" s="44"/>
      <c r="IR3" s="44"/>
      <c r="IS3" s="44"/>
      <c r="IT3" s="44"/>
      <c r="IU3" s="44"/>
      <c r="IV3" s="44"/>
      <c r="IW3" s="44"/>
    </row>
    <row r="4" spans="1:257" ht="13.5" customHeight="1" x14ac:dyDescent="0.3">
      <c r="B4" s="22" t="s">
        <v>60</v>
      </c>
      <c r="C4" s="23" t="str">
        <f>'02 Acts - Data'!B11</f>
        <v>03.06.2024 г.</v>
      </c>
      <c r="G4" s="76"/>
      <c r="H4" s="76"/>
      <c r="I4" s="76"/>
      <c r="J4" s="76"/>
      <c r="K4" s="24"/>
    </row>
    <row r="5" spans="1:257" ht="9.75" customHeight="1" x14ac:dyDescent="0.3">
      <c r="A5" s="71"/>
      <c r="B5" s="71"/>
      <c r="G5" s="77"/>
      <c r="H5" s="77"/>
      <c r="I5" s="77"/>
      <c r="J5" s="77"/>
      <c r="K5" s="77"/>
      <c r="O5" s="25"/>
      <c r="P5" s="25"/>
      <c r="Q5" s="25"/>
      <c r="R5" s="25"/>
      <c r="S5" s="25"/>
    </row>
    <row r="6" spans="1:257" ht="15.75" customHeight="1" x14ac:dyDescent="0.3">
      <c r="A6" s="72" t="s">
        <v>61</v>
      </c>
      <c r="B6" s="72"/>
      <c r="C6" s="72"/>
      <c r="D6" s="72"/>
      <c r="E6" s="72"/>
      <c r="F6" s="72"/>
      <c r="G6" s="72"/>
      <c r="H6" s="72"/>
      <c r="I6" s="72"/>
      <c r="J6" s="72"/>
      <c r="K6" s="72"/>
    </row>
    <row r="7" spans="1:257" ht="15.75" customHeight="1" x14ac:dyDescent="0.3">
      <c r="A7" s="72" t="s">
        <v>118</v>
      </c>
      <c r="B7" s="72"/>
      <c r="C7" s="72"/>
      <c r="D7" s="72"/>
      <c r="E7" s="72"/>
      <c r="F7" s="72"/>
      <c r="G7" s="72"/>
      <c r="H7" s="72"/>
      <c r="I7" s="72"/>
      <c r="J7" s="72"/>
      <c r="K7" s="72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spans="1:257" ht="11.25" customHeight="1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spans="1:257" ht="15.75" customHeight="1" x14ac:dyDescent="0.3">
      <c r="A9" s="25" t="s">
        <v>63</v>
      </c>
      <c r="B9" s="25"/>
      <c r="C9" s="25"/>
      <c r="D9" s="6"/>
      <c r="E9" s="6"/>
      <c r="F9" s="6"/>
      <c r="G9" s="6"/>
      <c r="H9" s="6"/>
      <c r="I9" s="6"/>
      <c r="J9" s="6"/>
      <c r="K9" s="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spans="1:257" ht="15.75" customHeight="1" x14ac:dyDescent="0.3">
      <c r="A10" s="27"/>
      <c r="B10" s="27"/>
      <c r="C10" s="27"/>
      <c r="D10" s="7"/>
      <c r="E10" s="7"/>
      <c r="F10" s="7"/>
      <c r="G10" s="7"/>
      <c r="H10" s="7"/>
      <c r="I10" s="7"/>
      <c r="J10" s="7"/>
      <c r="K10" s="7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57" ht="18" customHeight="1" x14ac:dyDescent="0.3">
      <c r="A11" s="27" t="str">
        <f>'02 Acts - Data'!B20</f>
        <v xml:space="preserve">Представитель ЮРЭС АО "ОЭК" </v>
      </c>
      <c r="B11" s="28"/>
      <c r="D11" s="27"/>
      <c r="E11" s="27"/>
      <c r="F11" s="27"/>
      <c r="G11" s="27"/>
      <c r="H11" s="27"/>
      <c r="I11" s="27"/>
      <c r="J11" s="27"/>
      <c r="K11" s="27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57" ht="15.75" customHeight="1" x14ac:dyDescent="0.3">
      <c r="A12" s="7" t="str">
        <f>'02 Acts - Data'!B21</f>
        <v>Начальник участка ООО «Резонанс-Энерго» Борков Е.А</v>
      </c>
      <c r="B12" s="28"/>
      <c r="D12" s="7"/>
      <c r="E12" s="7"/>
      <c r="F12" s="7"/>
      <c r="G12" s="7"/>
      <c r="H12" s="7"/>
      <c r="I12" s="7"/>
      <c r="J12" s="7"/>
      <c r="K12" s="7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spans="1:257" ht="15.75" customHeight="1" x14ac:dyDescent="0.3">
      <c r="A13" s="6"/>
      <c r="B13" s="6"/>
      <c r="C13" s="27"/>
      <c r="D13" s="6"/>
      <c r="E13" s="6"/>
      <c r="F13" s="6"/>
      <c r="G13" s="6"/>
      <c r="H13" s="6"/>
      <c r="I13" s="6"/>
      <c r="J13" s="6"/>
      <c r="K13" s="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spans="1:257" ht="15.75" customHeight="1" x14ac:dyDescent="0.3">
      <c r="A14" s="25" t="s">
        <v>77</v>
      </c>
      <c r="B14" s="5"/>
      <c r="C14" s="27"/>
      <c r="D14" s="5"/>
      <c r="E14" s="74" t="str">
        <f>'02 Acts - Data'!B10</f>
        <v>ООО «Резонанс-Энерго»</v>
      </c>
      <c r="F14" s="74"/>
      <c r="G14" s="74"/>
      <c r="H14" s="29"/>
      <c r="I14" s="29"/>
      <c r="J14" s="29"/>
      <c r="K14" s="27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spans="1:257" ht="15.75" customHeight="1" x14ac:dyDescent="0.3">
      <c r="A15" s="29" t="s">
        <v>78</v>
      </c>
      <c r="B15" s="29"/>
      <c r="C15" s="29"/>
      <c r="D15" s="27"/>
      <c r="E15" s="27"/>
      <c r="F15" s="29"/>
      <c r="G15" s="29"/>
      <c r="H15" s="29"/>
      <c r="I15" s="29"/>
      <c r="J15" s="27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57" ht="15.75" customHeight="1" x14ac:dyDescent="0.3">
      <c r="A16" s="7" t="s">
        <v>79</v>
      </c>
      <c r="B16" s="5"/>
      <c r="C16" s="27"/>
      <c r="D16" s="6"/>
      <c r="E16" s="6"/>
      <c r="F16" s="6"/>
      <c r="G16" s="6"/>
      <c r="H16" s="6"/>
      <c r="I16" s="6"/>
      <c r="J16" s="6"/>
      <c r="K16" s="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ht="15.75" customHeight="1" x14ac:dyDescent="0.3">
      <c r="A17" s="7" t="s">
        <v>119</v>
      </c>
      <c r="B17" s="5"/>
      <c r="C17" s="27"/>
      <c r="D17" s="74" t="str">
        <f>'02 Acts - Data'!B6</f>
        <v>ГНБ № 10-1С</v>
      </c>
      <c r="E17" s="74"/>
      <c r="F17" s="74"/>
      <c r="G17" s="7" t="s">
        <v>93</v>
      </c>
      <c r="H17" s="5"/>
      <c r="I17" s="5"/>
      <c r="J17" s="5"/>
      <c r="K17" s="5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ht="15.75" customHeight="1" x14ac:dyDescent="0.3">
      <c r="A18" s="3" t="str">
        <f>'02 Acts - Data'!B5</f>
        <v>По адресу: г. Москва, ул. Кантемировская, д.60</v>
      </c>
      <c r="B18" s="45"/>
      <c r="C18" s="31"/>
      <c r="D18" s="2"/>
      <c r="E18" s="2"/>
      <c r="F18" s="4"/>
      <c r="G18" s="2"/>
      <c r="H18" s="1"/>
      <c r="I18" s="34"/>
      <c r="J18" s="5"/>
      <c r="K18" s="5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spans="1:26" ht="15.75" customHeight="1" x14ac:dyDescent="0.3">
      <c r="A19" s="46"/>
      <c r="B19" s="32"/>
      <c r="C19" s="27"/>
      <c r="D19" s="1"/>
      <c r="E19" s="1"/>
      <c r="F19" s="34"/>
      <c r="G19" s="1"/>
      <c r="H19" s="1"/>
      <c r="I19" s="34"/>
      <c r="J19" s="5"/>
      <c r="K19" s="5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spans="1:26" ht="15.75" customHeight="1" x14ac:dyDescent="0.3">
      <c r="A20" s="7" t="s">
        <v>83</v>
      </c>
      <c r="B20" s="7"/>
      <c r="C20" s="27"/>
      <c r="D20" s="74" t="str">
        <f>'02 Acts - Data'!B16</f>
        <v>АО "МОСИНЖПРОЕКТ"</v>
      </c>
      <c r="E20" s="74"/>
      <c r="F20" s="74"/>
      <c r="G20" s="1" t="s">
        <v>84</v>
      </c>
      <c r="H20" s="30" t="str">
        <f>'02 Acts - Data'!B7</f>
        <v>ИМ-19-4-Р-3.2Э-ЗП2</v>
      </c>
      <c r="I20" s="30"/>
      <c r="J20" s="30"/>
      <c r="K20" s="5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spans="1:26" ht="15.75" customHeight="1" x14ac:dyDescent="0.3">
      <c r="A21" s="32"/>
      <c r="B21" s="32"/>
      <c r="C21" s="27"/>
      <c r="D21" s="1"/>
      <c r="E21" s="20"/>
      <c r="F21" s="20"/>
      <c r="G21" s="1"/>
      <c r="H21" s="27"/>
      <c r="I21" s="27"/>
      <c r="J21" s="5"/>
      <c r="K21" s="5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spans="1:26" ht="15.75" customHeight="1" x14ac:dyDescent="0.3">
      <c r="A22" s="7" t="s">
        <v>120</v>
      </c>
      <c r="B22" s="32"/>
      <c r="C22" s="27"/>
      <c r="D22" s="79" t="str">
        <f>'02 Acts - Data'!B8</f>
        <v>01.06.2024 г.</v>
      </c>
      <c r="E22" s="79"/>
      <c r="F22" s="79"/>
      <c r="G22" s="1"/>
      <c r="H22" s="20"/>
      <c r="I22" s="20"/>
      <c r="J22" s="5"/>
      <c r="K22" s="5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spans="1:26" ht="15.75" customHeight="1" x14ac:dyDescent="0.3">
      <c r="A23" s="32"/>
      <c r="B23" s="32"/>
      <c r="C23" s="27"/>
      <c r="D23" s="20"/>
      <c r="E23" s="5"/>
      <c r="F23" s="5"/>
      <c r="G23" s="5"/>
      <c r="H23" s="5"/>
      <c r="I23" s="5"/>
      <c r="J23" s="5"/>
      <c r="K23" s="5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spans="1:26" ht="15.75" customHeight="1" x14ac:dyDescent="0.3">
      <c r="A24" s="7" t="s">
        <v>121</v>
      </c>
      <c r="B24" s="32"/>
      <c r="C24" s="27"/>
      <c r="D24" s="79" t="str">
        <f>'02 Acts - Data'!B9</f>
        <v>03.06.2024 г.</v>
      </c>
      <c r="E24" s="79"/>
      <c r="F24" s="79"/>
      <c r="G24" s="5"/>
      <c r="H24" s="5"/>
      <c r="I24" s="5"/>
      <c r="J24" s="5"/>
      <c r="K24" s="5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spans="1:26" ht="15.75" customHeight="1" x14ac:dyDescent="0.3">
      <c r="A25" s="32"/>
      <c r="B25" s="32"/>
      <c r="C25" s="27"/>
      <c r="D25" s="5"/>
      <c r="E25" s="5"/>
      <c r="F25" s="5"/>
      <c r="G25" s="5"/>
      <c r="H25" s="5"/>
      <c r="I25" s="5"/>
      <c r="J25" s="5"/>
      <c r="K25" s="5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spans="1:26" ht="15.75" customHeight="1" x14ac:dyDescent="0.3">
      <c r="A26" s="72" t="s">
        <v>88</v>
      </c>
      <c r="B26" s="72"/>
      <c r="C26" s="72"/>
      <c r="D26" s="72"/>
      <c r="E26" s="72"/>
      <c r="F26" s="72"/>
      <c r="G26" s="72"/>
      <c r="H26" s="72"/>
      <c r="I26" s="72"/>
      <c r="J26" s="72"/>
      <c r="K26" s="72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spans="1:26" ht="15.75" customHeight="1" x14ac:dyDescent="0.3">
      <c r="A27" s="7" t="s">
        <v>89</v>
      </c>
      <c r="B27" s="32"/>
      <c r="C27" s="27"/>
      <c r="D27" s="5"/>
      <c r="E27" s="5"/>
      <c r="F27" s="5"/>
      <c r="G27" s="5"/>
      <c r="H27" s="5"/>
      <c r="I27" s="5"/>
      <c r="J27" s="5"/>
      <c r="K27" s="5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spans="1:26" ht="15.75" customHeight="1" x14ac:dyDescent="0.3">
      <c r="A28" s="7" t="s">
        <v>117</v>
      </c>
      <c r="B28" s="32"/>
      <c r="C28" s="27"/>
      <c r="D28" s="5"/>
      <c r="E28" s="29"/>
      <c r="F28" s="29"/>
      <c r="G28" s="29"/>
      <c r="H28" s="32"/>
      <c r="I28" s="5"/>
      <c r="J28" s="5"/>
      <c r="K28" s="5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spans="1:26" ht="15.75" customHeight="1" x14ac:dyDescent="0.3">
      <c r="A29" s="32"/>
      <c r="B29" s="32"/>
      <c r="C29" s="27"/>
      <c r="D29" s="5"/>
      <c r="E29" s="34"/>
      <c r="F29" s="34"/>
      <c r="G29" s="34"/>
      <c r="H29" s="32"/>
      <c r="I29" s="5"/>
      <c r="J29" s="5"/>
      <c r="K29" s="5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spans="1:26" ht="15.75" customHeight="1" x14ac:dyDescent="0.3">
      <c r="A30" s="32"/>
      <c r="B30" s="32"/>
      <c r="C30" s="27"/>
      <c r="D30" s="5"/>
      <c r="E30" s="5"/>
      <c r="F30" s="5"/>
      <c r="G30" s="5"/>
      <c r="H30" s="5"/>
      <c r="I30" s="5"/>
      <c r="J30" s="5"/>
      <c r="K30" s="5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spans="1:26" ht="15.75" customHeight="1" x14ac:dyDescent="0.3"/>
    <row r="32" spans="1:26" ht="15.75" customHeight="1" x14ac:dyDescent="0.3"/>
    <row r="33" spans="1:9" ht="15.75" customHeight="1" x14ac:dyDescent="0.3">
      <c r="A33" s="7" t="str">
        <f>'02 Acts - Data'!C20</f>
        <v>Представитель Южного РЭС АО "ОЭК" ____________________</v>
      </c>
      <c r="C33" s="7"/>
      <c r="D33" s="47"/>
      <c r="E33" s="47"/>
      <c r="F33" s="47"/>
      <c r="G33" s="7"/>
      <c r="H33" s="7"/>
      <c r="I33" s="7"/>
    </row>
    <row r="34" spans="1:9" ht="15.75" customHeight="1" x14ac:dyDescent="0.3">
      <c r="A34" s="7"/>
      <c r="C34" s="7"/>
      <c r="D34" s="7"/>
      <c r="E34" s="7"/>
      <c r="F34" s="7"/>
      <c r="G34" s="7"/>
      <c r="H34" s="7"/>
      <c r="I34" s="7"/>
    </row>
    <row r="35" spans="1:9" ht="15.75" customHeight="1" x14ac:dyDescent="0.3">
      <c r="A35" s="7" t="str">
        <f>'02 Acts - Data'!C21</f>
        <v>Начальник участка ООО «Резонанс-Энерго» ______________________Борков Е.А</v>
      </c>
      <c r="C35" s="7"/>
      <c r="D35" s="7"/>
      <c r="E35" s="48"/>
      <c r="F35" s="48"/>
      <c r="G35" s="48"/>
      <c r="H35" s="7"/>
      <c r="I35" s="7"/>
    </row>
    <row r="36" spans="1:9" ht="15.75" customHeight="1" x14ac:dyDescent="0.3">
      <c r="A36" s="7"/>
      <c r="C36" s="7"/>
      <c r="D36" s="7"/>
      <c r="E36" s="7"/>
      <c r="F36" s="7"/>
      <c r="G36" s="7"/>
      <c r="H36" s="7"/>
      <c r="I36" s="7"/>
    </row>
    <row r="37" spans="1:9" ht="15.75" customHeight="1" x14ac:dyDescent="0.3">
      <c r="A37" s="7"/>
      <c r="C37" s="7"/>
      <c r="D37" s="7"/>
      <c r="E37" s="7"/>
      <c r="F37" s="7"/>
      <c r="G37" s="7"/>
      <c r="H37" s="7"/>
      <c r="I37" s="7"/>
    </row>
    <row r="38" spans="1:9" ht="15.75" customHeight="1" x14ac:dyDescent="0.3"/>
    <row r="39" spans="1:9" ht="15.75" customHeight="1" x14ac:dyDescent="0.3"/>
    <row r="40" spans="1:9" ht="15.75" customHeight="1" x14ac:dyDescent="0.3"/>
    <row r="41" spans="1:9" ht="15.75" customHeight="1" x14ac:dyDescent="0.3"/>
    <row r="42" spans="1:9" ht="15.75" customHeight="1" x14ac:dyDescent="0.3"/>
    <row r="43" spans="1:9" ht="15.75" customHeight="1" x14ac:dyDescent="0.3"/>
    <row r="44" spans="1:9" ht="15.75" customHeight="1" x14ac:dyDescent="0.3"/>
    <row r="45" spans="1:9" ht="15.75" customHeight="1" x14ac:dyDescent="0.3"/>
    <row r="46" spans="1:9" ht="15.75" customHeight="1" x14ac:dyDescent="0.3"/>
    <row r="47" spans="1:9" ht="15.75" customHeight="1" x14ac:dyDescent="0.3"/>
    <row r="48" spans="1:9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</sheetData>
  <mergeCells count="12">
    <mergeCell ref="C3:K3"/>
    <mergeCell ref="G4:J4"/>
    <mergeCell ref="A5:B5"/>
    <mergeCell ref="G5:K5"/>
    <mergeCell ref="A6:K6"/>
    <mergeCell ref="D24:F24"/>
    <mergeCell ref="A26:K26"/>
    <mergeCell ref="A7:K7"/>
    <mergeCell ref="E14:G14"/>
    <mergeCell ref="D17:F17"/>
    <mergeCell ref="D20:F20"/>
    <mergeCell ref="D22:F22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6"/>
  <sheetViews>
    <sheetView zoomScaleNormal="100" workbookViewId="0"/>
  </sheetViews>
  <sheetFormatPr defaultColWidth="8.6640625" defaultRowHeight="15" customHeight="1" x14ac:dyDescent="0.3"/>
  <cols>
    <col min="1" max="1" width="4.109375" customWidth="1"/>
    <col min="2" max="2" width="13.6640625" customWidth="1"/>
    <col min="3" max="3" width="16.5546875" customWidth="1"/>
    <col min="4" max="4" width="10.88671875" customWidth="1"/>
    <col min="5" max="5" width="6.44140625" customWidth="1"/>
    <col min="6" max="6" width="8.5546875" customWidth="1"/>
    <col min="7" max="7" width="10.88671875" customWidth="1"/>
    <col min="8" max="8" width="9.21875" customWidth="1"/>
    <col min="10" max="10" width="8.44140625" customWidth="1"/>
    <col min="11" max="11" width="13" customWidth="1"/>
    <col min="12" max="12" width="0.21875" customWidth="1"/>
    <col min="13" max="13" width="9.109375" customWidth="1"/>
  </cols>
  <sheetData>
    <row r="1" spans="1:26" ht="13.5" customHeight="1" x14ac:dyDescent="0.3">
      <c r="B1" s="19" t="s">
        <v>57</v>
      </c>
      <c r="C1" s="20" t="str">
        <f>'02 Acts - Data'!B14</f>
        <v>ГКУ «УДМС»</v>
      </c>
      <c r="D1" s="20"/>
      <c r="E1" s="20"/>
      <c r="F1" s="20"/>
      <c r="G1" s="21"/>
      <c r="H1" s="20"/>
      <c r="I1" s="20"/>
      <c r="J1" s="20"/>
      <c r="K1" s="20"/>
    </row>
    <row r="2" spans="1:26" ht="13.5" customHeight="1" x14ac:dyDescent="0.3">
      <c r="B2" s="19" t="s">
        <v>75</v>
      </c>
      <c r="C2" s="20" t="str">
        <f>'02 Acts - Data'!B15</f>
        <v>ООО «Резонанс-Энерго»</v>
      </c>
      <c r="D2" s="20"/>
      <c r="E2" s="20"/>
      <c r="F2" s="20"/>
      <c r="G2" s="21"/>
      <c r="H2" s="20"/>
      <c r="I2" s="20"/>
      <c r="J2" s="20"/>
      <c r="K2" s="20"/>
    </row>
    <row r="3" spans="1:26" ht="48.75" customHeight="1" x14ac:dyDescent="0.3">
      <c r="B3" s="22" t="s">
        <v>59</v>
      </c>
      <c r="C3" s="90" t="str">
        <f>'02 Acts - Data'!B4</f>
        <v>"Строительство улично-дорожной сети с искусственными сооружениями и переустройством инженерных коммуникаций на участке от ул. Маршала Шестопалова до Павелецкого направления Московской железной дороги"</v>
      </c>
      <c r="D3" s="90"/>
      <c r="E3" s="90"/>
      <c r="F3" s="90"/>
      <c r="G3" s="90"/>
      <c r="H3" s="90"/>
      <c r="I3" s="90"/>
      <c r="J3" s="90"/>
      <c r="K3" s="90"/>
    </row>
    <row r="4" spans="1:26" ht="13.5" customHeight="1" x14ac:dyDescent="0.3">
      <c r="B4" s="22" t="s">
        <v>60</v>
      </c>
      <c r="C4" s="23" t="str">
        <f>'02 Acts - Data'!B11</f>
        <v>03.06.2024 г.</v>
      </c>
      <c r="G4" s="76"/>
      <c r="H4" s="76"/>
      <c r="I4" s="76"/>
      <c r="J4" s="76"/>
      <c r="K4" s="24"/>
    </row>
    <row r="5" spans="1:26" ht="9.75" customHeight="1" x14ac:dyDescent="0.3">
      <c r="A5" s="71"/>
      <c r="B5" s="71"/>
      <c r="G5" s="77"/>
      <c r="H5" s="77"/>
      <c r="I5" s="77"/>
      <c r="J5" s="77"/>
      <c r="K5" s="77"/>
      <c r="O5" s="25"/>
      <c r="P5" s="25"/>
      <c r="Q5" s="25"/>
      <c r="R5" s="25"/>
      <c r="S5" s="25"/>
    </row>
    <row r="6" spans="1:26" ht="15.75" customHeight="1" x14ac:dyDescent="0.3">
      <c r="A6" s="72" t="s">
        <v>61</v>
      </c>
      <c r="B6" s="72"/>
      <c r="C6" s="72"/>
      <c r="D6" s="72"/>
      <c r="E6" s="72"/>
      <c r="F6" s="72"/>
      <c r="G6" s="72"/>
      <c r="H6" s="72"/>
      <c r="I6" s="72"/>
      <c r="J6" s="72"/>
      <c r="K6" s="72"/>
    </row>
    <row r="7" spans="1:26" ht="15.75" customHeight="1" x14ac:dyDescent="0.3">
      <c r="A7" s="72" t="s">
        <v>122</v>
      </c>
      <c r="B7" s="72"/>
      <c r="C7" s="72"/>
      <c r="D7" s="72"/>
      <c r="E7" s="72"/>
      <c r="F7" s="72"/>
      <c r="G7" s="72"/>
      <c r="H7" s="72"/>
      <c r="I7" s="72"/>
      <c r="J7" s="72"/>
      <c r="K7" s="72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spans="1:26" ht="11.25" customHeight="1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spans="1:26" ht="15.75" customHeight="1" x14ac:dyDescent="0.3">
      <c r="A9" s="25" t="s">
        <v>63</v>
      </c>
      <c r="B9" s="25"/>
      <c r="C9" s="25"/>
      <c r="D9" s="6"/>
      <c r="E9" s="6"/>
      <c r="F9" s="6"/>
      <c r="G9" s="6"/>
      <c r="H9" s="6"/>
      <c r="I9" s="6"/>
      <c r="J9" s="6"/>
      <c r="K9" s="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spans="1:26" ht="15.75" customHeight="1" x14ac:dyDescent="0.3">
      <c r="A10" s="27"/>
      <c r="B10" s="27"/>
      <c r="C10" s="27"/>
      <c r="D10" s="7"/>
      <c r="E10" s="7"/>
      <c r="F10" s="7"/>
      <c r="G10" s="7"/>
      <c r="H10" s="7"/>
      <c r="I10" s="7"/>
      <c r="J10" s="7"/>
      <c r="K10" s="7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8" customHeight="1" x14ac:dyDescent="0.3">
      <c r="A11" s="27" t="str">
        <f>'02 Acts - Data'!B20</f>
        <v xml:space="preserve">Представитель ЮРЭС АО "ОЭК" </v>
      </c>
      <c r="B11" s="28"/>
      <c r="D11" s="27"/>
      <c r="E11" s="27"/>
      <c r="F11" s="27"/>
      <c r="G11" s="27"/>
      <c r="H11" s="27"/>
      <c r="I11" s="27"/>
      <c r="J11" s="27"/>
      <c r="K11" s="27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6" ht="15.75" customHeight="1" x14ac:dyDescent="0.3">
      <c r="A12" s="7" t="str">
        <f>'02 Acts - Data'!B21</f>
        <v>Начальник участка ООО «Резонанс-Энерго» Борков Е.А</v>
      </c>
      <c r="B12" s="28"/>
      <c r="D12" s="7"/>
      <c r="E12" s="7"/>
      <c r="F12" s="7"/>
      <c r="G12" s="7"/>
      <c r="H12" s="7"/>
      <c r="I12" s="7"/>
      <c r="J12" s="7"/>
      <c r="K12" s="7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spans="1:26" ht="15.75" customHeight="1" x14ac:dyDescent="0.3">
      <c r="A13" s="6"/>
      <c r="B13" s="6"/>
      <c r="C13" s="27"/>
      <c r="D13" s="6"/>
      <c r="E13" s="6"/>
      <c r="F13" s="6"/>
      <c r="G13" s="6"/>
      <c r="H13" s="6"/>
      <c r="I13" s="6"/>
      <c r="J13" s="6"/>
      <c r="K13" s="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spans="1:26" ht="15.75" customHeight="1" x14ac:dyDescent="0.3">
      <c r="A14" s="25" t="s">
        <v>77</v>
      </c>
      <c r="B14" s="5"/>
      <c r="C14" s="27"/>
      <c r="D14" s="5"/>
      <c r="E14" s="74" t="str">
        <f>'02 Acts - Data'!B10</f>
        <v>ООО «Резонанс-Энерго»</v>
      </c>
      <c r="F14" s="74"/>
      <c r="G14" s="74"/>
      <c r="H14" s="29"/>
      <c r="I14" s="29"/>
      <c r="J14" s="29"/>
      <c r="K14" s="27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spans="1:26" ht="15.75" customHeight="1" x14ac:dyDescent="0.3">
      <c r="A15" s="25" t="s">
        <v>78</v>
      </c>
      <c r="B15" s="29"/>
      <c r="C15" s="29"/>
      <c r="D15" s="27"/>
      <c r="E15" s="27"/>
      <c r="F15" s="29"/>
      <c r="G15" s="29"/>
      <c r="H15" s="29"/>
      <c r="I15" s="29"/>
      <c r="J15" s="27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6" ht="15.75" customHeight="1" x14ac:dyDescent="0.3">
      <c r="A16" s="7" t="s">
        <v>79</v>
      </c>
      <c r="B16" s="5"/>
      <c r="C16" s="27"/>
      <c r="D16" s="6"/>
      <c r="E16" s="6"/>
      <c r="F16" s="6"/>
      <c r="G16" s="6"/>
      <c r="H16" s="6"/>
      <c r="I16" s="6"/>
      <c r="J16" s="6"/>
      <c r="K16" s="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ht="15.75" customHeight="1" x14ac:dyDescent="0.3">
      <c r="A17" s="7" t="s">
        <v>123</v>
      </c>
      <c r="B17" s="5"/>
      <c r="C17" s="27"/>
      <c r="D17" s="74" t="str">
        <f>'02 Acts - Data'!B6</f>
        <v>ГНБ № 10-1С</v>
      </c>
      <c r="E17" s="74"/>
      <c r="F17" s="74"/>
      <c r="G17" s="74"/>
      <c r="H17" s="7" t="s">
        <v>81</v>
      </c>
      <c r="J17" s="5"/>
      <c r="K17" s="5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ht="15.75" customHeight="1" x14ac:dyDescent="0.3">
      <c r="A18" s="7" t="s">
        <v>82</v>
      </c>
      <c r="B18" s="5"/>
      <c r="C18" s="78" t="str">
        <f>'02 Acts - Data'!B5</f>
        <v>По адресу: г. Москва, ул. Кантемировская, д.60</v>
      </c>
      <c r="D18" s="78"/>
      <c r="E18" s="78"/>
      <c r="F18" s="78"/>
      <c r="G18" s="78"/>
      <c r="H18" s="78"/>
      <c r="I18" s="7"/>
      <c r="J18" s="5"/>
      <c r="K18" s="5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spans="1:26" ht="15.75" customHeight="1" x14ac:dyDescent="0.3">
      <c r="A19" s="32"/>
      <c r="B19" s="32"/>
      <c r="C19" s="27"/>
      <c r="D19" s="1"/>
      <c r="E19" s="1"/>
      <c r="F19" s="34"/>
      <c r="G19" s="1"/>
      <c r="H19" s="1"/>
      <c r="I19" s="34"/>
      <c r="J19" s="5"/>
      <c r="K19" s="5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spans="1:26" ht="15.75" customHeight="1" x14ac:dyDescent="0.3">
      <c r="A20" s="7" t="s">
        <v>83</v>
      </c>
      <c r="B20" s="7"/>
      <c r="C20" s="27"/>
      <c r="D20" s="74" t="str">
        <f>'02 Acts - Data'!B16</f>
        <v>АО "МОСИНЖПРОЕКТ"</v>
      </c>
      <c r="E20" s="74"/>
      <c r="F20" s="74"/>
      <c r="G20" s="1" t="s">
        <v>84</v>
      </c>
      <c r="H20" s="89" t="str">
        <f>'02 Acts - Data'!B7</f>
        <v>ИМ-19-4-Р-3.2Э-ЗП2</v>
      </c>
      <c r="I20" s="89"/>
      <c r="J20" s="89"/>
      <c r="K20" s="5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spans="1:26" ht="15.75" customHeight="1" x14ac:dyDescent="0.3">
      <c r="A21" s="7"/>
      <c r="B21" s="7"/>
      <c r="C21" s="27"/>
      <c r="D21" s="34"/>
      <c r="E21" s="34"/>
      <c r="F21" s="34"/>
      <c r="G21" s="1"/>
      <c r="H21" s="34"/>
      <c r="I21" s="34"/>
      <c r="J21" s="34"/>
      <c r="K21" s="5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spans="1:26" ht="33" customHeight="1" x14ac:dyDescent="0.3">
      <c r="A22" s="7" t="s">
        <v>124</v>
      </c>
      <c r="B22" s="7"/>
      <c r="C22" s="27"/>
      <c r="D22" s="34"/>
      <c r="E22" s="89" t="str">
        <f>'02 Acts - Data'!B26</f>
        <v>Труба "ПЭ тип "С" 110*6,3 техническая (L012) (паспорт  качества от 23.08.2021г.)</v>
      </c>
      <c r="F22" s="89"/>
      <c r="G22" s="89"/>
      <c r="H22" s="89"/>
      <c r="I22" s="89"/>
      <c r="J22" s="89"/>
      <c r="K22" s="5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spans="1:26" ht="15.75" customHeight="1" x14ac:dyDescent="0.3">
      <c r="A23" s="7"/>
      <c r="B23" s="7"/>
      <c r="C23" s="27"/>
      <c r="D23" s="34"/>
      <c r="E23" s="34"/>
      <c r="F23" s="34"/>
      <c r="G23" s="1"/>
      <c r="H23" s="34"/>
      <c r="I23" s="34"/>
      <c r="J23" s="34"/>
      <c r="K23" s="5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spans="1:26" ht="15.75" customHeight="1" x14ac:dyDescent="0.3">
      <c r="A24" s="7" t="s">
        <v>125</v>
      </c>
      <c r="B24" s="7"/>
      <c r="C24" s="27"/>
      <c r="D24" s="34"/>
      <c r="E24" s="78" t="str">
        <f>'02 Acts - Data'!B27</f>
        <v xml:space="preserve"> d=110 мм.</v>
      </c>
      <c r="F24" s="78"/>
      <c r="G24" s="78"/>
      <c r="H24" s="78"/>
      <c r="I24" s="78"/>
      <c r="J24" s="78"/>
      <c r="K24" s="5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spans="1:26" ht="15.75" customHeight="1" x14ac:dyDescent="0.3">
      <c r="A25" s="32"/>
      <c r="B25" s="32"/>
      <c r="C25" s="27"/>
      <c r="D25" s="1"/>
      <c r="E25" s="20"/>
      <c r="F25" s="20"/>
      <c r="G25" s="1"/>
      <c r="H25" s="27"/>
      <c r="I25" s="27"/>
      <c r="J25" s="5"/>
      <c r="K25" s="5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spans="1:26" ht="15.75" customHeight="1" x14ac:dyDescent="0.3">
      <c r="A26" s="7" t="s">
        <v>126</v>
      </c>
      <c r="B26" s="32"/>
      <c r="C26" s="27"/>
      <c r="D26" s="79" t="str">
        <f>'02 Acts - Data'!B8</f>
        <v>01.06.2024 г.</v>
      </c>
      <c r="E26" s="79"/>
      <c r="F26" s="79"/>
      <c r="G26" s="1"/>
      <c r="H26" s="20"/>
      <c r="I26" s="20"/>
      <c r="J26" s="5"/>
      <c r="K26" s="5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spans="1:26" ht="15.75" customHeight="1" x14ac:dyDescent="0.3">
      <c r="A27" s="32"/>
      <c r="B27" s="32"/>
      <c r="C27" s="27"/>
      <c r="D27" s="20"/>
      <c r="E27" s="5"/>
      <c r="F27" s="5"/>
      <c r="G27" s="5"/>
      <c r="H27" s="5"/>
      <c r="I27" s="5"/>
      <c r="J27" s="5"/>
      <c r="K27" s="5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spans="1:26" ht="15.75" customHeight="1" x14ac:dyDescent="0.3">
      <c r="A28" s="7" t="s">
        <v>127</v>
      </c>
      <c r="B28" s="32"/>
      <c r="C28" s="27"/>
      <c r="D28" s="79" t="str">
        <f>'02 Acts - Data'!B9</f>
        <v>03.06.2024 г.</v>
      </c>
      <c r="E28" s="79"/>
      <c r="F28" s="79"/>
      <c r="G28" s="5"/>
      <c r="H28" s="5"/>
      <c r="I28" s="5"/>
      <c r="J28" s="5"/>
      <c r="K28" s="5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spans="1:26" ht="15.75" customHeight="1" x14ac:dyDescent="0.3">
      <c r="A29" s="32"/>
      <c r="B29" s="32"/>
      <c r="C29" s="27"/>
      <c r="D29" s="5"/>
      <c r="E29" s="5"/>
      <c r="F29" s="5"/>
      <c r="G29" s="5"/>
      <c r="H29" s="5"/>
      <c r="I29" s="5"/>
      <c r="J29" s="5"/>
      <c r="K29" s="5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spans="1:26" ht="15.75" customHeight="1" x14ac:dyDescent="0.3">
      <c r="A30" s="72" t="s">
        <v>88</v>
      </c>
      <c r="B30" s="72"/>
      <c r="C30" s="72"/>
      <c r="D30" s="72"/>
      <c r="E30" s="72"/>
      <c r="F30" s="72"/>
      <c r="G30" s="72"/>
      <c r="H30" s="72"/>
      <c r="I30" s="72"/>
      <c r="J30" s="72"/>
      <c r="K30" s="72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spans="1:26" ht="15.75" customHeight="1" x14ac:dyDescent="0.3">
      <c r="A31" s="7" t="s">
        <v>89</v>
      </c>
      <c r="B31" s="32"/>
      <c r="C31" s="27"/>
      <c r="D31" s="5"/>
      <c r="E31" s="5"/>
      <c r="F31" s="5"/>
      <c r="G31" s="5"/>
      <c r="H31" s="5"/>
      <c r="I31" s="5"/>
      <c r="J31" s="5"/>
      <c r="K31" s="5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spans="1:26" ht="15.75" customHeight="1" x14ac:dyDescent="0.3">
      <c r="A32" s="7" t="s">
        <v>117</v>
      </c>
      <c r="B32" s="32"/>
      <c r="C32" s="27"/>
      <c r="D32" s="5"/>
      <c r="E32" s="29"/>
      <c r="F32" s="29"/>
      <c r="G32" s="29"/>
      <c r="H32" s="32"/>
      <c r="I32" s="5"/>
      <c r="J32" s="5"/>
      <c r="K32" s="5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spans="1:26" ht="15.75" customHeight="1" x14ac:dyDescent="0.3">
      <c r="A33" s="32"/>
      <c r="B33" s="32"/>
      <c r="C33" s="27"/>
      <c r="D33" s="5"/>
      <c r="E33" s="5"/>
      <c r="F33" s="5"/>
      <c r="G33" s="5"/>
      <c r="H33" s="5"/>
      <c r="I33" s="5"/>
      <c r="J33" s="5"/>
      <c r="K33" s="5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spans="1:26" ht="15.75" customHeight="1" x14ac:dyDescent="0.3"/>
    <row r="35" spans="1:26" ht="15.75" customHeight="1" x14ac:dyDescent="0.3"/>
    <row r="36" spans="1:26" ht="15.75" customHeight="1" x14ac:dyDescent="0.3">
      <c r="A36" s="7" t="str">
        <f>'02 Acts - Data'!C20</f>
        <v>Представитель Южного РЭС АО "ОЭК" ____________________</v>
      </c>
      <c r="C36" s="7"/>
      <c r="D36" s="7"/>
      <c r="E36" s="7"/>
      <c r="F36" s="7"/>
      <c r="G36" s="7"/>
      <c r="H36" s="7"/>
      <c r="I36" s="7"/>
    </row>
    <row r="37" spans="1:26" ht="15.75" customHeight="1" x14ac:dyDescent="0.3">
      <c r="A37" s="7"/>
      <c r="C37" s="7"/>
      <c r="D37" s="7"/>
      <c r="E37" s="7"/>
      <c r="F37" s="7"/>
      <c r="G37" s="7"/>
      <c r="H37" s="7"/>
      <c r="I37" s="7"/>
    </row>
    <row r="38" spans="1:26" ht="15.75" customHeight="1" x14ac:dyDescent="0.3">
      <c r="A38" s="7" t="str">
        <f>'02 Acts - Data'!C21</f>
        <v>Начальник участка ООО «Резонанс-Энерго» ______________________Борков Е.А</v>
      </c>
      <c r="C38" s="7"/>
      <c r="D38" s="7"/>
      <c r="E38" s="7"/>
      <c r="F38" s="7"/>
      <c r="G38" s="7"/>
      <c r="H38" s="7"/>
      <c r="I38" s="7"/>
    </row>
    <row r="39" spans="1:26" ht="15.75" customHeight="1" x14ac:dyDescent="0.3">
      <c r="A39" s="7"/>
      <c r="C39" s="7"/>
      <c r="D39" s="7"/>
      <c r="E39" s="7"/>
      <c r="F39" s="7"/>
      <c r="G39" s="7"/>
      <c r="H39" s="7"/>
      <c r="I39" s="7"/>
    </row>
    <row r="40" spans="1:26" ht="15.75" customHeight="1" x14ac:dyDescent="0.3">
      <c r="A40" s="7"/>
      <c r="C40" s="7"/>
      <c r="D40" s="7"/>
      <c r="E40" s="7"/>
      <c r="F40" s="7"/>
      <c r="G40" s="7"/>
      <c r="H40" s="7"/>
      <c r="I40" s="7"/>
    </row>
    <row r="41" spans="1:26" ht="15.75" customHeight="1" x14ac:dyDescent="0.3"/>
    <row r="42" spans="1:26" ht="15.75" customHeight="1" x14ac:dyDescent="0.3"/>
    <row r="43" spans="1:26" ht="15.75" customHeight="1" x14ac:dyDescent="0.3"/>
    <row r="44" spans="1:26" ht="15.75" customHeight="1" x14ac:dyDescent="0.3"/>
    <row r="45" spans="1:26" ht="15.75" customHeight="1" x14ac:dyDescent="0.3"/>
    <row r="46" spans="1:26" ht="15.75" customHeight="1" x14ac:dyDescent="0.3"/>
    <row r="47" spans="1:26" ht="15.75" customHeight="1" x14ac:dyDescent="0.3"/>
    <row r="48" spans="1:26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</sheetData>
  <mergeCells count="16">
    <mergeCell ref="C3:K3"/>
    <mergeCell ref="G4:J4"/>
    <mergeCell ref="A5:B5"/>
    <mergeCell ref="G5:K5"/>
    <mergeCell ref="A6:K6"/>
    <mergeCell ref="A7:K7"/>
    <mergeCell ref="E14:G14"/>
    <mergeCell ref="D17:G17"/>
    <mergeCell ref="C18:H18"/>
    <mergeCell ref="D20:F20"/>
    <mergeCell ref="H20:J20"/>
    <mergeCell ref="E22:J22"/>
    <mergeCell ref="E24:J24"/>
    <mergeCell ref="D26:F26"/>
    <mergeCell ref="D28:F28"/>
    <mergeCell ref="A30:K30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81"/>
  <sheetViews>
    <sheetView zoomScaleNormal="100" workbookViewId="0"/>
  </sheetViews>
  <sheetFormatPr defaultColWidth="8.6640625" defaultRowHeight="15" customHeight="1" x14ac:dyDescent="0.3"/>
  <cols>
    <col min="2" max="2" width="9.6640625" customWidth="1"/>
    <col min="10" max="10" width="12.21875" customWidth="1"/>
    <col min="11" max="11" width="21.109375" customWidth="1"/>
  </cols>
  <sheetData>
    <row r="1" spans="1:26" ht="15.75" customHeight="1" x14ac:dyDescent="0.3">
      <c r="A1" s="103" t="s">
        <v>61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</row>
    <row r="2" spans="1:26" ht="15.75" customHeight="1" x14ac:dyDescent="0.3">
      <c r="A2" s="103" t="s">
        <v>128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</row>
    <row r="3" spans="1:26" ht="15.75" customHeight="1" x14ac:dyDescent="0.3"/>
    <row r="4" spans="1:26" ht="15.75" customHeight="1" x14ac:dyDescent="0.3">
      <c r="A4" s="87" t="s">
        <v>129</v>
      </c>
      <c r="B4" s="87"/>
      <c r="C4" s="49"/>
      <c r="D4" s="49"/>
      <c r="E4" s="49"/>
      <c r="F4" s="49"/>
      <c r="G4" s="88" t="str">
        <f>'02 Acts - Data'!B11</f>
        <v>03.06.2024 г.</v>
      </c>
      <c r="H4" s="88"/>
      <c r="I4" s="88"/>
      <c r="J4" s="88"/>
      <c r="K4" s="88"/>
    </row>
    <row r="5" spans="1:26" ht="15.75" customHeight="1" x14ac:dyDescent="0.3">
      <c r="A5" s="49"/>
      <c r="B5" s="49"/>
      <c r="C5" s="49"/>
      <c r="D5" s="49"/>
      <c r="E5" s="49"/>
      <c r="F5" s="49"/>
      <c r="G5" s="49"/>
      <c r="H5" s="49"/>
      <c r="I5" s="49"/>
    </row>
    <row r="6" spans="1:26" ht="15.75" customHeight="1" x14ac:dyDescent="0.3">
      <c r="A6" s="96" t="s">
        <v>130</v>
      </c>
      <c r="B6" s="96"/>
      <c r="C6" s="96"/>
      <c r="D6" s="96"/>
      <c r="E6" s="96"/>
      <c r="F6" s="50" t="str">
        <f>'02 Acts - Data'!B3</f>
        <v>ГНБ 10-1С г. Москва, ул. Кантемировская, д.60</v>
      </c>
      <c r="G6" s="50"/>
      <c r="H6" s="50"/>
      <c r="I6" s="50"/>
      <c r="J6" s="50"/>
      <c r="K6" s="50"/>
      <c r="P6" s="51"/>
      <c r="Q6" s="52"/>
      <c r="R6" s="52"/>
      <c r="S6" s="52"/>
      <c r="T6" s="52"/>
      <c r="U6" s="52"/>
      <c r="V6" s="52"/>
      <c r="W6" s="52"/>
      <c r="X6" s="52"/>
      <c r="Y6" s="52"/>
      <c r="Z6" s="52"/>
    </row>
    <row r="7" spans="1:26" ht="15.75" customHeight="1" x14ac:dyDescent="0.3">
      <c r="A7" s="94" t="s">
        <v>131</v>
      </c>
      <c r="B7" s="94"/>
      <c r="C7" s="94"/>
      <c r="D7" s="94"/>
      <c r="E7" s="94"/>
      <c r="F7" s="94"/>
      <c r="G7" s="94"/>
      <c r="H7" s="94"/>
      <c r="I7" s="94"/>
      <c r="J7" s="94"/>
      <c r="K7" s="94"/>
    </row>
    <row r="8" spans="1:26" ht="15.75" customHeight="1" x14ac:dyDescent="0.3"/>
    <row r="9" spans="1:26" ht="40.5" customHeight="1" x14ac:dyDescent="0.3">
      <c r="A9" s="100" t="str">
        <f>'02 Acts - Data'!B4</f>
        <v>"Строительство улично-дорожной сети с искусственными сооружениями и переустройством инженерных коммуникаций на участке от ул. Маршала Шестопалова до Павелецкого направления Московской железной дороги"</v>
      </c>
      <c r="B9" s="100"/>
      <c r="C9" s="100"/>
      <c r="D9" s="100"/>
      <c r="E9" s="100"/>
      <c r="F9" s="100"/>
      <c r="G9" s="100"/>
      <c r="H9" s="100"/>
      <c r="I9" s="100"/>
      <c r="J9" s="100"/>
      <c r="K9" s="100"/>
    </row>
    <row r="10" spans="1:26" ht="12" customHeight="1" x14ac:dyDescent="0.3">
      <c r="A10" s="101" t="s">
        <v>132</v>
      </c>
      <c r="B10" s="101"/>
      <c r="C10" s="101"/>
      <c r="D10" s="101"/>
      <c r="E10" s="101"/>
      <c r="F10" s="101"/>
      <c r="G10" s="101"/>
      <c r="H10" s="101"/>
      <c r="I10" s="101"/>
      <c r="J10" s="101"/>
      <c r="K10" s="101"/>
    </row>
    <row r="11" spans="1:26" ht="15.75" customHeight="1" x14ac:dyDescent="0.3">
      <c r="A11" s="102" t="str">
        <f>'02 Acts - Data'!B5</f>
        <v>По адресу: г. Москва, ул. Кантемировская, д.60</v>
      </c>
      <c r="B11" s="102"/>
      <c r="C11" s="102"/>
      <c r="D11" s="102"/>
      <c r="E11" s="102"/>
      <c r="F11" s="102"/>
      <c r="G11" s="102"/>
      <c r="H11" s="102"/>
      <c r="I11" s="102"/>
      <c r="J11" s="53"/>
      <c r="K11" s="53"/>
    </row>
    <row r="12" spans="1:26" ht="15.75" customHeight="1" x14ac:dyDescent="0.3">
      <c r="A12" s="94" t="s">
        <v>133</v>
      </c>
      <c r="B12" s="94"/>
      <c r="C12" s="94"/>
      <c r="D12" s="94"/>
      <c r="E12" s="94"/>
      <c r="F12" s="94"/>
      <c r="G12" s="94"/>
      <c r="H12" s="94"/>
      <c r="I12" s="94"/>
      <c r="J12" s="94"/>
      <c r="K12" s="94"/>
    </row>
    <row r="13" spans="1:26" ht="15.75" customHeight="1" x14ac:dyDescent="0.3">
      <c r="A13" s="87" t="s">
        <v>134</v>
      </c>
      <c r="B13" s="87"/>
      <c r="C13" s="54" t="str">
        <f>'02 Acts - Data'!B23</f>
        <v>Представитель Южного РЭС АО "ОЭК" и АО "ОЭК"</v>
      </c>
      <c r="D13" s="41"/>
      <c r="E13" s="41"/>
      <c r="F13" s="41"/>
      <c r="G13" s="41"/>
      <c r="H13" s="41"/>
      <c r="I13" s="41"/>
      <c r="J13" s="41"/>
      <c r="K13" s="41"/>
    </row>
    <row r="14" spans="1:26" ht="15.75" customHeight="1" x14ac:dyDescent="0.3">
      <c r="A14" s="97" t="s">
        <v>135</v>
      </c>
      <c r="B14" s="97"/>
      <c r="C14" s="54" t="str">
        <f>'02 Acts - Data'!B20</f>
        <v xml:space="preserve">Представитель ЮРЭС АО "ОЭК" </v>
      </c>
      <c r="D14" s="55"/>
      <c r="E14" s="55"/>
      <c r="F14" s="55"/>
      <c r="G14" s="55"/>
      <c r="H14" s="55"/>
      <c r="I14" s="55"/>
      <c r="J14" s="56"/>
      <c r="K14" s="56"/>
    </row>
    <row r="15" spans="1:26" ht="15.75" customHeight="1" x14ac:dyDescent="0.3">
      <c r="A15" s="98" t="s">
        <v>136</v>
      </c>
      <c r="B15" s="98"/>
      <c r="C15" s="99" t="str">
        <f>'02 Acts - Data'!B21</f>
        <v>Начальник участка ООО «Резонанс-Энерго» Борков Е.А</v>
      </c>
      <c r="D15" s="99"/>
      <c r="E15" s="99"/>
      <c r="F15" s="99"/>
      <c r="G15" s="99"/>
      <c r="H15" s="99"/>
      <c r="I15" s="99"/>
      <c r="J15" s="99"/>
      <c r="K15" s="99"/>
    </row>
    <row r="16" spans="1:26" ht="15.75" customHeight="1" x14ac:dyDescent="0.3">
      <c r="C16" s="41" t="str">
        <f>'02 Acts - Data'!B22</f>
        <v xml:space="preserve"> </v>
      </c>
      <c r="D16" s="41"/>
      <c r="E16" s="41"/>
      <c r="F16" s="41"/>
      <c r="G16" s="41"/>
      <c r="H16" s="41"/>
      <c r="I16" s="41"/>
      <c r="J16" s="41"/>
      <c r="K16" s="41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</row>
    <row r="17" spans="1:25" ht="15.75" customHeight="1" x14ac:dyDescent="0.3">
      <c r="A17" s="49"/>
      <c r="B17" s="49"/>
      <c r="C17" s="87"/>
      <c r="D17" s="87"/>
      <c r="E17" s="87"/>
      <c r="F17" s="87"/>
      <c r="G17" s="87"/>
      <c r="H17" s="87"/>
      <c r="I17" s="87"/>
      <c r="J17" s="87"/>
      <c r="K17" s="87"/>
    </row>
    <row r="18" spans="1:25" ht="15.75" customHeight="1" x14ac:dyDescent="0.3">
      <c r="A18" s="87" t="s">
        <v>77</v>
      </c>
      <c r="B18" s="87"/>
      <c r="C18" s="87"/>
      <c r="D18" s="87"/>
      <c r="E18" s="91" t="str">
        <f>'02 Acts - Data'!B10</f>
        <v>ООО «Резонанс-Энерго»</v>
      </c>
      <c r="F18" s="91"/>
      <c r="G18" s="91"/>
      <c r="H18" s="91"/>
      <c r="I18" s="91"/>
      <c r="J18" s="91"/>
      <c r="K18" s="91"/>
      <c r="P18" s="95"/>
      <c r="Q18" s="95"/>
      <c r="R18" s="95"/>
      <c r="S18" s="95"/>
      <c r="T18" s="95"/>
      <c r="U18" s="95"/>
      <c r="V18" s="95"/>
      <c r="W18" s="95"/>
      <c r="X18" s="95"/>
      <c r="Y18" s="95"/>
    </row>
    <row r="19" spans="1:25" ht="15.75" customHeight="1" x14ac:dyDescent="0.3">
      <c r="A19" s="87" t="s">
        <v>78</v>
      </c>
      <c r="B19" s="87"/>
      <c r="C19" s="87"/>
      <c r="D19" s="87"/>
      <c r="E19" s="87"/>
      <c r="F19" s="87"/>
      <c r="G19" s="87"/>
      <c r="H19" s="87"/>
      <c r="I19" s="87"/>
      <c r="J19" s="87"/>
      <c r="K19" s="87"/>
    </row>
    <row r="20" spans="1:25" ht="15.75" customHeight="1" x14ac:dyDescent="0.3">
      <c r="B20" s="87" t="s">
        <v>137</v>
      </c>
      <c r="C20" s="87"/>
      <c r="D20" s="87"/>
      <c r="E20" s="87"/>
      <c r="F20" s="87"/>
      <c r="G20" s="87"/>
      <c r="H20" s="87"/>
      <c r="I20" s="87"/>
      <c r="J20" s="87"/>
      <c r="K20" s="87"/>
      <c r="P20" s="95"/>
      <c r="Q20" s="95"/>
      <c r="R20" s="95"/>
      <c r="S20" s="95"/>
      <c r="T20" s="95"/>
      <c r="U20" s="95"/>
      <c r="V20" s="95"/>
      <c r="W20" s="95"/>
      <c r="X20" s="95"/>
      <c r="Y20" s="95"/>
    </row>
    <row r="21" spans="1:25" ht="15.75" customHeight="1" x14ac:dyDescent="0.3"/>
    <row r="22" spans="1:25" ht="15.75" customHeight="1" x14ac:dyDescent="0.3">
      <c r="A22" s="96" t="s">
        <v>138</v>
      </c>
      <c r="B22" s="96"/>
      <c r="C22" s="96"/>
      <c r="D22" s="96"/>
      <c r="E22" s="96"/>
      <c r="F22" s="50" t="str">
        <f>'02 Acts - Data'!B6</f>
        <v>ГНБ № 10-1С</v>
      </c>
      <c r="G22" s="50"/>
      <c r="H22" s="50"/>
      <c r="I22" s="50"/>
      <c r="J22" s="50"/>
      <c r="K22" s="50"/>
    </row>
    <row r="23" spans="1:25" ht="15.75" customHeight="1" x14ac:dyDescent="0.3">
      <c r="A23" s="94" t="s">
        <v>139</v>
      </c>
      <c r="B23" s="94"/>
      <c r="C23" s="94"/>
      <c r="D23" s="94"/>
      <c r="E23" s="94"/>
      <c r="F23" s="94"/>
      <c r="G23" s="94"/>
      <c r="H23" s="94"/>
      <c r="I23" s="94"/>
      <c r="J23" s="94"/>
      <c r="K23" s="94"/>
    </row>
    <row r="24" spans="1:25" ht="15.75" customHeight="1" x14ac:dyDescent="0.3">
      <c r="B24" s="87" t="s">
        <v>83</v>
      </c>
      <c r="C24" s="87"/>
      <c r="D24" s="87"/>
      <c r="E24" s="87"/>
      <c r="F24" s="91" t="str">
        <f>'02 Acts - Data'!B7</f>
        <v>ИМ-19-4-Р-3.2Э-ЗП2</v>
      </c>
      <c r="G24" s="91"/>
      <c r="H24" s="91"/>
      <c r="I24" s="91"/>
      <c r="J24" s="91"/>
      <c r="K24" s="91"/>
      <c r="P24" s="87"/>
      <c r="Q24" s="87"/>
      <c r="R24" s="87"/>
      <c r="S24" s="87"/>
      <c r="T24" s="87"/>
      <c r="U24" s="87"/>
      <c r="V24" s="87"/>
      <c r="W24" s="87"/>
      <c r="X24" s="87"/>
      <c r="Y24" s="87"/>
    </row>
    <row r="25" spans="1:25" ht="15.75" customHeight="1" x14ac:dyDescent="0.3">
      <c r="B25" s="57" t="s">
        <v>140</v>
      </c>
      <c r="C25" s="51"/>
      <c r="D25" s="51"/>
      <c r="E25" s="51"/>
      <c r="F25" s="51"/>
      <c r="G25" s="51"/>
      <c r="H25" s="51"/>
      <c r="I25" s="51"/>
      <c r="J25" s="51"/>
      <c r="K25" s="51"/>
    </row>
    <row r="26" spans="1:25" ht="15.75" customHeight="1" x14ac:dyDescent="0.3">
      <c r="A26" s="91" t="str">
        <f>'02 Acts - Data'!B16</f>
        <v>АО "МОСИНЖПРОЕКТ"</v>
      </c>
      <c r="B26" s="91"/>
      <c r="C26" s="91"/>
      <c r="D26" s="91"/>
      <c r="E26" s="91"/>
      <c r="F26" s="91"/>
      <c r="G26" s="91"/>
      <c r="H26" s="91"/>
      <c r="I26" s="91"/>
      <c r="J26" s="91"/>
      <c r="K26" s="91"/>
    </row>
    <row r="27" spans="1:25" ht="15.75" customHeight="1" x14ac:dyDescent="0.3">
      <c r="A27" s="93" t="s">
        <v>141</v>
      </c>
      <c r="B27" s="93"/>
      <c r="C27" s="93"/>
      <c r="D27" s="93"/>
      <c r="E27" s="93"/>
      <c r="F27" s="93"/>
      <c r="G27" s="93"/>
      <c r="H27" s="93"/>
      <c r="I27" s="93"/>
      <c r="J27" s="93"/>
      <c r="K27" s="93"/>
    </row>
    <row r="28" spans="1:25" ht="15.75" customHeight="1" x14ac:dyDescent="0.3">
      <c r="B28" s="87" t="s">
        <v>142</v>
      </c>
      <c r="C28" s="87"/>
      <c r="D28" s="87"/>
      <c r="E28" s="87"/>
      <c r="F28" s="87"/>
      <c r="G28" s="87"/>
      <c r="H28" s="87"/>
      <c r="I28" s="87"/>
      <c r="J28" s="87"/>
      <c r="K28" s="87"/>
    </row>
    <row r="29" spans="1:25" ht="15.75" customHeight="1" x14ac:dyDescent="0.3">
      <c r="A29" s="91" t="s">
        <v>143</v>
      </c>
      <c r="B29" s="91"/>
      <c r="C29" s="91"/>
      <c r="D29" s="91"/>
      <c r="E29" s="91"/>
      <c r="F29" s="91"/>
      <c r="G29" s="91"/>
      <c r="H29" s="91"/>
      <c r="I29" s="91"/>
      <c r="J29" s="91"/>
      <c r="K29" s="91"/>
    </row>
    <row r="30" spans="1:25" ht="15.75" customHeight="1" x14ac:dyDescent="0.3">
      <c r="A30" s="94" t="s">
        <v>144</v>
      </c>
      <c r="B30" s="94"/>
      <c r="C30" s="94"/>
      <c r="D30" s="94"/>
      <c r="E30" s="94"/>
      <c r="F30" s="94"/>
      <c r="G30" s="94"/>
      <c r="H30" s="94"/>
      <c r="I30" s="94"/>
      <c r="J30" s="94"/>
      <c r="K30" s="94"/>
    </row>
    <row r="31" spans="1:25" ht="15.75" customHeight="1" x14ac:dyDescent="0.3">
      <c r="B31" s="87" t="s">
        <v>86</v>
      </c>
      <c r="C31" s="87"/>
      <c r="D31" s="87"/>
      <c r="E31" s="87" t="str">
        <f>'02 Acts - Data'!B8</f>
        <v>01.06.2024 г.</v>
      </c>
      <c r="F31" s="87"/>
      <c r="G31" s="87"/>
      <c r="H31" s="87"/>
      <c r="I31" s="87"/>
      <c r="J31" s="87"/>
      <c r="K31" s="87"/>
    </row>
    <row r="32" spans="1:25" ht="15.75" customHeight="1" x14ac:dyDescent="0.3"/>
    <row r="33" spans="1:11" ht="15.75" customHeight="1" x14ac:dyDescent="0.3">
      <c r="B33" s="87" t="s">
        <v>87</v>
      </c>
      <c r="C33" s="87"/>
      <c r="D33" s="87"/>
      <c r="E33" s="87" t="str">
        <f>'02 Acts - Data'!B9</f>
        <v>03.06.2024 г.</v>
      </c>
      <c r="F33" s="87"/>
      <c r="G33" s="87"/>
      <c r="H33" s="87"/>
      <c r="I33" s="87"/>
      <c r="J33" s="87"/>
      <c r="K33" s="87"/>
    </row>
    <row r="34" spans="1:11" ht="15.75" customHeight="1" x14ac:dyDescent="0.3"/>
    <row r="35" spans="1:11" ht="15.75" customHeight="1" x14ac:dyDescent="0.3">
      <c r="A35" s="92" t="s">
        <v>88</v>
      </c>
      <c r="B35" s="92"/>
      <c r="C35" s="92"/>
      <c r="D35" s="92"/>
      <c r="E35" s="92"/>
      <c r="F35" s="92"/>
      <c r="G35" s="92"/>
      <c r="H35" s="92"/>
      <c r="I35" s="92"/>
      <c r="J35" s="92"/>
      <c r="K35" s="92"/>
    </row>
    <row r="36" spans="1:11" ht="15.75" customHeight="1" x14ac:dyDescent="0.3"/>
    <row r="37" spans="1:11" ht="15.75" customHeight="1" x14ac:dyDescent="0.3">
      <c r="B37" s="87" t="s">
        <v>145</v>
      </c>
      <c r="C37" s="87"/>
      <c r="D37" s="87"/>
      <c r="E37" s="87"/>
      <c r="F37" s="87"/>
      <c r="G37" s="87"/>
      <c r="H37" s="87"/>
      <c r="I37" s="87"/>
      <c r="J37" s="87"/>
      <c r="K37" s="87"/>
    </row>
    <row r="38" spans="1:11" ht="15.75" customHeight="1" x14ac:dyDescent="0.3">
      <c r="A38" s="87" t="s">
        <v>146</v>
      </c>
      <c r="B38" s="87"/>
      <c r="C38" s="87"/>
      <c r="D38" s="87"/>
    </row>
    <row r="39" spans="1:11" ht="15.75" customHeight="1" x14ac:dyDescent="0.3">
      <c r="B39" s="87" t="s">
        <v>147</v>
      </c>
      <c r="C39" s="87"/>
      <c r="D39" s="87"/>
      <c r="E39" s="87"/>
      <c r="F39" s="87"/>
      <c r="G39" s="87"/>
      <c r="H39" s="87"/>
      <c r="I39" s="87"/>
      <c r="J39" s="87"/>
      <c r="K39" s="87"/>
    </row>
    <row r="40" spans="1:11" ht="15.75" customHeight="1" x14ac:dyDescent="0.3">
      <c r="A40" s="91" t="s">
        <v>148</v>
      </c>
      <c r="B40" s="91"/>
      <c r="C40" s="91"/>
      <c r="D40" s="91"/>
      <c r="E40" s="91"/>
      <c r="F40" s="91"/>
      <c r="G40" s="91"/>
      <c r="H40" s="91"/>
      <c r="I40" s="91"/>
      <c r="J40" s="91"/>
      <c r="K40" s="91"/>
    </row>
    <row r="41" spans="1:11" ht="15.75" customHeight="1" x14ac:dyDescent="0.3"/>
    <row r="42" spans="1:11" ht="15.75" customHeight="1" x14ac:dyDescent="0.3">
      <c r="A42" s="51"/>
      <c r="B42" s="87" t="str">
        <f>'02 Acts - Data'!B20</f>
        <v xml:space="preserve">Представитель ЮРЭС АО "ОЭК" </v>
      </c>
      <c r="C42" s="87"/>
      <c r="D42" s="87"/>
      <c r="E42" s="87"/>
      <c r="F42" s="87"/>
      <c r="G42" s="87"/>
      <c r="H42" s="87"/>
      <c r="I42" s="87"/>
      <c r="J42" s="87"/>
      <c r="K42" s="51"/>
    </row>
    <row r="43" spans="1:11" ht="15.75" customHeight="1" x14ac:dyDescent="0.3">
      <c r="B43" s="51" t="str">
        <f>'02 Acts - Data'!B23</f>
        <v>Представитель Южного РЭС АО "ОЭК" и АО "ОЭК"</v>
      </c>
    </row>
    <row r="44" spans="1:11" ht="15.75" customHeight="1" x14ac:dyDescent="0.3">
      <c r="B44" s="87" t="str">
        <f>'02 Acts - Data'!B21</f>
        <v>Начальник участка ООО «Резонанс-Энерго» Борков Е.А</v>
      </c>
      <c r="C44" s="87"/>
      <c r="D44" s="87"/>
      <c r="E44" s="87"/>
      <c r="F44" s="87"/>
      <c r="G44" s="87"/>
      <c r="H44" s="87"/>
      <c r="I44" s="87"/>
      <c r="J44" s="87"/>
    </row>
    <row r="45" spans="1:11" ht="15.75" customHeight="1" x14ac:dyDescent="0.3">
      <c r="A45" s="51"/>
      <c r="B45" s="87" t="str">
        <f>'02 Acts - Data'!B22</f>
        <v xml:space="preserve"> </v>
      </c>
      <c r="C45" s="87"/>
      <c r="D45" s="87"/>
      <c r="E45" s="87"/>
      <c r="F45" s="87"/>
      <c r="G45" s="87"/>
      <c r="H45" s="87"/>
      <c r="I45" s="87"/>
      <c r="J45" s="87"/>
      <c r="K45" s="51"/>
    </row>
    <row r="46" spans="1:11" ht="15.75" customHeight="1" x14ac:dyDescent="0.3">
      <c r="B46" s="87"/>
      <c r="C46" s="87"/>
      <c r="D46" s="87"/>
      <c r="E46" s="87"/>
      <c r="F46" s="87"/>
      <c r="G46" s="87"/>
      <c r="H46" s="87"/>
      <c r="I46" s="87"/>
      <c r="J46" s="87"/>
    </row>
    <row r="47" spans="1:11" ht="15.75" customHeight="1" x14ac:dyDescent="0.3"/>
    <row r="48" spans="1:11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</sheetData>
  <mergeCells count="45">
    <mergeCell ref="A1:K1"/>
    <mergeCell ref="A2:K2"/>
    <mergeCell ref="A4:B4"/>
    <mergeCell ref="G4:K4"/>
    <mergeCell ref="A6:E6"/>
    <mergeCell ref="A7:K7"/>
    <mergeCell ref="A9:K9"/>
    <mergeCell ref="A10:K10"/>
    <mergeCell ref="A11:I11"/>
    <mergeCell ref="A12:K12"/>
    <mergeCell ref="A13:B13"/>
    <mergeCell ref="A14:B14"/>
    <mergeCell ref="A15:B15"/>
    <mergeCell ref="C15:K15"/>
    <mergeCell ref="P16:Z16"/>
    <mergeCell ref="C17:K17"/>
    <mergeCell ref="A18:D18"/>
    <mergeCell ref="E18:K18"/>
    <mergeCell ref="P18:Y18"/>
    <mergeCell ref="A19:K19"/>
    <mergeCell ref="B20:K20"/>
    <mergeCell ref="P20:Y20"/>
    <mergeCell ref="A22:E22"/>
    <mergeCell ref="A23:K23"/>
    <mergeCell ref="B24:E24"/>
    <mergeCell ref="F24:K24"/>
    <mergeCell ref="P24:Y24"/>
    <mergeCell ref="A26:K26"/>
    <mergeCell ref="A27:K27"/>
    <mergeCell ref="B28:K28"/>
    <mergeCell ref="A29:K29"/>
    <mergeCell ref="A30:K30"/>
    <mergeCell ref="B31:D31"/>
    <mergeCell ref="E31:K31"/>
    <mergeCell ref="B33:D33"/>
    <mergeCell ref="E33:K33"/>
    <mergeCell ref="A35:K35"/>
    <mergeCell ref="B44:J44"/>
    <mergeCell ref="B45:J45"/>
    <mergeCell ref="B46:J46"/>
    <mergeCell ref="B37:K37"/>
    <mergeCell ref="A38:D38"/>
    <mergeCell ref="B39:K39"/>
    <mergeCell ref="A40:K40"/>
    <mergeCell ref="B42:J42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75"/>
  <sheetViews>
    <sheetView zoomScaleNormal="100" workbookViewId="0"/>
  </sheetViews>
  <sheetFormatPr defaultColWidth="8.6640625" defaultRowHeight="15" customHeight="1" x14ac:dyDescent="0.3"/>
  <cols>
    <col min="1" max="1" width="4.109375" customWidth="1"/>
    <col min="2" max="2" width="13.6640625" customWidth="1"/>
    <col min="3" max="3" width="16.5546875" customWidth="1"/>
    <col min="4" max="4" width="10.88671875" customWidth="1"/>
    <col min="5" max="5" width="6.44140625" customWidth="1"/>
    <col min="6" max="6" width="8.5546875" customWidth="1"/>
    <col min="7" max="7" width="10.88671875" customWidth="1"/>
    <col min="8" max="8" width="9.21875" customWidth="1"/>
    <col min="10" max="10" width="8.44140625" customWidth="1"/>
    <col min="11" max="11" width="13" customWidth="1"/>
    <col min="12" max="12" width="0.21875" customWidth="1"/>
    <col min="13" max="13" width="9.109375" customWidth="1"/>
  </cols>
  <sheetData>
    <row r="1" spans="1:26" ht="13.5" customHeight="1" x14ac:dyDescent="0.3">
      <c r="B1" s="19" t="s">
        <v>57</v>
      </c>
      <c r="C1" s="20" t="str">
        <f>'02 Acts - Data'!B14</f>
        <v>ГКУ «УДМС»</v>
      </c>
      <c r="D1" s="20"/>
      <c r="E1" s="20"/>
      <c r="F1" s="20"/>
      <c r="G1" s="21"/>
      <c r="H1" s="20"/>
      <c r="I1" s="20"/>
      <c r="J1" s="20"/>
      <c r="K1" s="20"/>
    </row>
    <row r="2" spans="1:26" ht="13.5" customHeight="1" x14ac:dyDescent="0.3">
      <c r="B2" s="19" t="s">
        <v>75</v>
      </c>
      <c r="C2" s="20" t="str">
        <f>'02 Acts - Data'!B15</f>
        <v>ООО «Резонанс-Энерго»</v>
      </c>
      <c r="D2" s="20"/>
      <c r="E2" s="20"/>
      <c r="F2" s="20"/>
      <c r="G2" s="21"/>
      <c r="H2" s="20"/>
      <c r="I2" s="20"/>
      <c r="J2" s="20"/>
      <c r="K2" s="20"/>
    </row>
    <row r="3" spans="1:26" ht="40.5" customHeight="1" x14ac:dyDescent="0.3">
      <c r="B3" s="22" t="s">
        <v>59</v>
      </c>
      <c r="C3" s="90" t="str">
        <f>'02 Acts - Data'!B4</f>
        <v>"Строительство улично-дорожной сети с искусственными сооружениями и переустройством инженерных коммуникаций на участке от ул. Маршала Шестопалова до Павелецкого направления Московской железной дороги"</v>
      </c>
      <c r="D3" s="90"/>
      <c r="E3" s="90"/>
      <c r="F3" s="90"/>
      <c r="G3" s="90"/>
      <c r="H3" s="90"/>
      <c r="I3" s="90"/>
      <c r="J3" s="90"/>
      <c r="K3" s="90"/>
    </row>
    <row r="4" spans="1:26" ht="13.5" customHeight="1" x14ac:dyDescent="0.3">
      <c r="B4" s="22" t="s">
        <v>60</v>
      </c>
      <c r="C4" s="23" t="str">
        <f>'02 Acts - Data'!B11</f>
        <v>03.06.2024 г.</v>
      </c>
      <c r="G4" s="76"/>
      <c r="H4" s="76"/>
      <c r="I4" s="76"/>
      <c r="J4" s="76"/>
      <c r="K4" s="24"/>
    </row>
    <row r="5" spans="1:26" ht="9.75" customHeight="1" x14ac:dyDescent="0.3">
      <c r="A5" s="71"/>
      <c r="B5" s="71"/>
      <c r="G5" s="77"/>
      <c r="H5" s="77"/>
      <c r="I5" s="77"/>
      <c r="J5" s="77"/>
      <c r="K5" s="77"/>
      <c r="O5" s="25"/>
      <c r="P5" s="25"/>
      <c r="Q5" s="25"/>
      <c r="R5" s="25"/>
      <c r="S5" s="25"/>
    </row>
    <row r="6" spans="1:26" ht="15.75" customHeight="1" x14ac:dyDescent="0.3">
      <c r="A6" s="72" t="s">
        <v>61</v>
      </c>
      <c r="B6" s="72"/>
      <c r="C6" s="72"/>
      <c r="D6" s="72"/>
      <c r="E6" s="72"/>
      <c r="F6" s="72"/>
      <c r="G6" s="72"/>
      <c r="H6" s="72"/>
      <c r="I6" s="72"/>
      <c r="J6" s="72"/>
      <c r="K6" s="72"/>
    </row>
    <row r="7" spans="1:26" ht="15.75" customHeight="1" x14ac:dyDescent="0.3">
      <c r="A7" s="72" t="s">
        <v>149</v>
      </c>
      <c r="B7" s="72"/>
      <c r="C7" s="72"/>
      <c r="D7" s="72"/>
      <c r="E7" s="72"/>
      <c r="F7" s="72"/>
      <c r="G7" s="72"/>
      <c r="H7" s="72"/>
      <c r="I7" s="72"/>
      <c r="J7" s="72"/>
      <c r="K7" s="72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spans="1:26" ht="11.25" customHeight="1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spans="1:26" ht="15.75" customHeight="1" x14ac:dyDescent="0.3">
      <c r="A9" s="25" t="s">
        <v>63</v>
      </c>
      <c r="B9" s="25"/>
      <c r="C9" s="25"/>
      <c r="D9" s="6"/>
      <c r="E9" s="6"/>
      <c r="F9" s="6"/>
      <c r="G9" s="6"/>
      <c r="H9" s="6"/>
      <c r="I9" s="6"/>
      <c r="J9" s="6"/>
      <c r="K9" s="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spans="1:26" ht="15.75" customHeight="1" x14ac:dyDescent="0.3">
      <c r="A10" s="27"/>
      <c r="B10" s="27"/>
      <c r="C10" s="27"/>
      <c r="D10" s="7"/>
      <c r="E10" s="7"/>
      <c r="F10" s="7"/>
      <c r="G10" s="7"/>
      <c r="H10" s="7"/>
      <c r="I10" s="7"/>
      <c r="J10" s="7"/>
      <c r="K10" s="7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8" customHeight="1" x14ac:dyDescent="0.3">
      <c r="A11" s="27" t="str">
        <f>'02 Acts - Data'!B20</f>
        <v xml:space="preserve">Представитель ЮРЭС АО "ОЭК" </v>
      </c>
      <c r="B11" s="28"/>
      <c r="D11" s="27"/>
      <c r="E11" s="27"/>
      <c r="F11" s="27"/>
      <c r="G11" s="27"/>
      <c r="H11" s="27"/>
      <c r="I11" s="27"/>
      <c r="J11" s="27"/>
      <c r="K11" s="27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6" ht="15.75" customHeight="1" x14ac:dyDescent="0.3">
      <c r="A12" s="7" t="str">
        <f>'02 Acts - Data'!B21</f>
        <v>Начальник участка ООО «Резонанс-Энерго» Борков Е.А</v>
      </c>
      <c r="B12" s="28"/>
      <c r="D12" s="7"/>
      <c r="E12" s="7"/>
      <c r="F12" s="7"/>
      <c r="G12" s="7"/>
      <c r="H12" s="7"/>
      <c r="I12" s="7"/>
      <c r="J12" s="7"/>
      <c r="K12" s="7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spans="1:26" ht="15.75" customHeight="1" x14ac:dyDescent="0.3">
      <c r="A13" s="6"/>
      <c r="B13" s="6"/>
      <c r="C13" s="27"/>
      <c r="D13" s="6"/>
      <c r="E13" s="6"/>
      <c r="F13" s="6"/>
      <c r="G13" s="6"/>
      <c r="H13" s="6"/>
      <c r="I13" s="6"/>
      <c r="J13" s="6"/>
      <c r="K13" s="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spans="1:26" ht="15.75" customHeight="1" x14ac:dyDescent="0.3">
      <c r="A14" s="25" t="s">
        <v>77</v>
      </c>
      <c r="B14" s="5"/>
      <c r="C14" s="27"/>
      <c r="D14" s="5"/>
      <c r="E14" s="74" t="str">
        <f>'02 Acts - Data'!B10</f>
        <v>ООО «Резонанс-Энерго»</v>
      </c>
      <c r="F14" s="74"/>
      <c r="G14" s="74"/>
      <c r="H14" s="29"/>
      <c r="I14" s="29"/>
      <c r="J14" s="29"/>
      <c r="K14" s="27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spans="1:26" ht="15.75" customHeight="1" x14ac:dyDescent="0.3">
      <c r="A15" s="29" t="s">
        <v>78</v>
      </c>
      <c r="B15" s="29"/>
      <c r="C15" s="29"/>
      <c r="D15" s="27"/>
      <c r="E15" s="27"/>
      <c r="F15" s="29"/>
      <c r="G15" s="29"/>
      <c r="H15" s="29"/>
      <c r="I15" s="29"/>
      <c r="J15" s="27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6" ht="15.75" customHeight="1" x14ac:dyDescent="0.3">
      <c r="A16" s="7" t="s">
        <v>79</v>
      </c>
      <c r="B16" s="5"/>
      <c r="C16" s="27"/>
      <c r="D16" s="6"/>
      <c r="E16" s="6"/>
      <c r="F16" s="6"/>
      <c r="G16" s="6"/>
      <c r="H16" s="6"/>
      <c r="I16" s="6"/>
      <c r="J16" s="6"/>
      <c r="K16" s="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ht="15.75" customHeight="1" x14ac:dyDescent="0.3">
      <c r="A17" s="7" t="s">
        <v>150</v>
      </c>
      <c r="B17" s="5"/>
      <c r="C17" s="27"/>
      <c r="D17" s="29"/>
      <c r="E17" s="29"/>
      <c r="F17" s="74" t="str">
        <f>'02 Acts - Data'!B6</f>
        <v>ГНБ № 10-1С</v>
      </c>
      <c r="G17" s="74"/>
      <c r="H17" s="74"/>
      <c r="I17" s="7" t="s">
        <v>81</v>
      </c>
      <c r="J17" s="5"/>
      <c r="K17" s="5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ht="15.75" customHeight="1" x14ac:dyDescent="0.3">
      <c r="A18" s="7" t="s">
        <v>82</v>
      </c>
      <c r="B18" s="5"/>
      <c r="C18" s="78" t="str">
        <f>'02 Acts - Data'!B5</f>
        <v>По адресу: г. Москва, ул. Кантемировская, д.60</v>
      </c>
      <c r="D18" s="78"/>
      <c r="E18" s="78"/>
      <c r="F18" s="78"/>
      <c r="G18" s="78"/>
      <c r="H18" s="78"/>
      <c r="I18" s="7"/>
      <c r="J18" s="5"/>
      <c r="K18" s="5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spans="1:26" ht="15.75" customHeight="1" x14ac:dyDescent="0.3">
      <c r="A19" s="32"/>
      <c r="B19" s="32"/>
      <c r="C19" s="27"/>
      <c r="D19" s="1"/>
      <c r="E19" s="1"/>
      <c r="F19" s="34"/>
      <c r="G19" s="1"/>
      <c r="H19" s="1"/>
      <c r="I19" s="34"/>
      <c r="J19" s="5"/>
      <c r="K19" s="5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spans="1:26" ht="15.75" customHeight="1" x14ac:dyDescent="0.3">
      <c r="A20" s="7" t="s">
        <v>83</v>
      </c>
      <c r="B20" s="7"/>
      <c r="C20" s="27"/>
      <c r="D20" s="74" t="str">
        <f>'02 Acts - Data'!B16</f>
        <v>АО "МОСИНЖПРОЕКТ"</v>
      </c>
      <c r="E20" s="74"/>
      <c r="F20" s="74"/>
      <c r="G20" s="1" t="s">
        <v>84</v>
      </c>
      <c r="H20" s="30" t="str">
        <f>'02 Acts - Data'!B7</f>
        <v>ИМ-19-4-Р-3.2Э-ЗП2</v>
      </c>
      <c r="I20" s="30"/>
      <c r="J20" s="30"/>
      <c r="K20" s="5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spans="1:26" ht="15.75" customHeight="1" x14ac:dyDescent="0.3">
      <c r="A21" s="7"/>
      <c r="B21" s="7"/>
      <c r="C21" s="27"/>
      <c r="D21" s="34"/>
      <c r="E21" s="34"/>
      <c r="F21" s="34"/>
      <c r="G21" s="1"/>
      <c r="H21" s="34"/>
      <c r="I21" s="34"/>
      <c r="J21" s="34"/>
      <c r="K21" s="5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spans="1:26" ht="28.5" customHeight="1" x14ac:dyDescent="0.3">
      <c r="A22" s="7" t="s">
        <v>116</v>
      </c>
      <c r="B22" s="7"/>
      <c r="C22" s="27"/>
      <c r="D22" s="34"/>
      <c r="E22" s="89" t="str">
        <f>'02 Acts - Data'!B26</f>
        <v>Труба "ПЭ тип "С" 110*6,3 техническая (L012) (паспорт  качества от 23.08.2021г.)</v>
      </c>
      <c r="F22" s="89"/>
      <c r="G22" s="89"/>
      <c r="H22" s="89"/>
      <c r="I22" s="89"/>
      <c r="J22" s="89"/>
      <c r="K22" s="5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spans="1:26" ht="15.75" customHeight="1" x14ac:dyDescent="0.3">
      <c r="A23" s="32"/>
      <c r="B23" s="32"/>
      <c r="C23" s="27"/>
      <c r="D23" s="1"/>
      <c r="E23" s="20"/>
      <c r="F23" s="20"/>
      <c r="G23" s="1"/>
      <c r="H23" s="27"/>
      <c r="I23" s="27"/>
      <c r="J23" s="5"/>
      <c r="K23" s="5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spans="1:26" ht="15.75" customHeight="1" x14ac:dyDescent="0.3">
      <c r="A24" s="7" t="s">
        <v>86</v>
      </c>
      <c r="B24" s="32"/>
      <c r="C24" s="27"/>
      <c r="D24" s="79" t="str">
        <f>'02 Acts - Data'!B8</f>
        <v>01.06.2024 г.</v>
      </c>
      <c r="E24" s="79"/>
      <c r="F24" s="79"/>
      <c r="G24" s="1"/>
      <c r="H24" s="20"/>
      <c r="I24" s="20"/>
      <c r="J24" s="5"/>
      <c r="K24" s="5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spans="1:26" ht="15.75" customHeight="1" x14ac:dyDescent="0.3">
      <c r="A25" s="32"/>
      <c r="B25" s="32"/>
      <c r="C25" s="27"/>
      <c r="D25" s="20"/>
      <c r="E25" s="5"/>
      <c r="F25" s="5"/>
      <c r="G25" s="5"/>
      <c r="H25" s="5"/>
      <c r="I25" s="5"/>
      <c r="J25" s="5"/>
      <c r="K25" s="5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spans="1:26" ht="15.75" customHeight="1" x14ac:dyDescent="0.3">
      <c r="A26" s="7" t="s">
        <v>87</v>
      </c>
      <c r="B26" s="32"/>
      <c r="C26" s="27"/>
      <c r="D26" s="79" t="str">
        <f>'02 Acts - Data'!B9</f>
        <v>03.06.2024 г.</v>
      </c>
      <c r="E26" s="79"/>
      <c r="F26" s="79"/>
      <c r="G26" s="5"/>
      <c r="H26" s="5"/>
      <c r="I26" s="5"/>
      <c r="J26" s="5"/>
      <c r="K26" s="5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spans="1:26" ht="15.75" customHeight="1" x14ac:dyDescent="0.3">
      <c r="A27" s="32"/>
      <c r="B27" s="32"/>
      <c r="C27" s="27"/>
      <c r="D27" s="5"/>
      <c r="E27" s="5"/>
      <c r="F27" s="5"/>
      <c r="G27" s="5"/>
      <c r="H27" s="5"/>
      <c r="I27" s="5"/>
      <c r="J27" s="5"/>
      <c r="K27" s="5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spans="1:26" ht="15.75" customHeight="1" x14ac:dyDescent="0.3">
      <c r="A28" s="72" t="s">
        <v>88</v>
      </c>
      <c r="B28" s="72"/>
      <c r="C28" s="72"/>
      <c r="D28" s="72"/>
      <c r="E28" s="72"/>
      <c r="F28" s="72"/>
      <c r="G28" s="72"/>
      <c r="H28" s="72"/>
      <c r="I28" s="72"/>
      <c r="J28" s="72"/>
      <c r="K28" s="72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spans="1:26" ht="15.75" customHeight="1" x14ac:dyDescent="0.3">
      <c r="A29" s="7" t="s">
        <v>89</v>
      </c>
      <c r="B29" s="32"/>
      <c r="C29" s="27"/>
      <c r="D29" s="5"/>
      <c r="E29" s="5"/>
      <c r="F29" s="5"/>
      <c r="G29" s="5"/>
      <c r="H29" s="5"/>
      <c r="I29" s="5"/>
      <c r="J29" s="5"/>
      <c r="K29" s="5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spans="1:26" ht="15.75" customHeight="1" x14ac:dyDescent="0.3">
      <c r="A30" s="7" t="s">
        <v>117</v>
      </c>
      <c r="B30" s="32"/>
      <c r="C30" s="27"/>
      <c r="D30" s="5"/>
      <c r="E30" s="29"/>
      <c r="F30" s="29"/>
      <c r="G30" s="29"/>
      <c r="H30" s="32"/>
      <c r="I30" s="5"/>
      <c r="J30" s="5"/>
      <c r="K30" s="5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spans="1:26" ht="15.75" customHeight="1" x14ac:dyDescent="0.3">
      <c r="A31" s="32"/>
      <c r="B31" s="32"/>
      <c r="C31" s="27"/>
      <c r="D31" s="5"/>
      <c r="E31" s="34"/>
      <c r="F31" s="34"/>
      <c r="G31" s="34"/>
      <c r="H31" s="32"/>
      <c r="I31" s="5"/>
      <c r="J31" s="5"/>
      <c r="K31" s="5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spans="1:26" ht="15.75" customHeight="1" x14ac:dyDescent="0.3">
      <c r="A32" s="32"/>
      <c r="B32" s="32"/>
      <c r="C32" s="27"/>
      <c r="D32" s="5"/>
      <c r="E32" s="5"/>
      <c r="F32" s="5"/>
      <c r="G32" s="5"/>
      <c r="H32" s="5"/>
      <c r="I32" s="5"/>
      <c r="J32" s="5"/>
      <c r="K32" s="5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spans="1:9" ht="15.75" customHeight="1" x14ac:dyDescent="0.3"/>
    <row r="34" spans="1:9" ht="15.75" customHeight="1" x14ac:dyDescent="0.3"/>
    <row r="35" spans="1:9" ht="15.75" customHeight="1" x14ac:dyDescent="0.3">
      <c r="A35" s="7" t="str">
        <f>'02 Acts - Data'!C20</f>
        <v>Представитель Южного РЭС АО "ОЭК" ____________________</v>
      </c>
      <c r="C35" s="7"/>
      <c r="D35" s="7"/>
      <c r="E35" s="7"/>
      <c r="F35" s="7"/>
      <c r="G35" s="7"/>
      <c r="H35" s="7"/>
      <c r="I35" s="7"/>
    </row>
    <row r="36" spans="1:9" ht="15.75" customHeight="1" x14ac:dyDescent="0.3">
      <c r="A36" s="7"/>
      <c r="C36" s="7"/>
      <c r="D36" s="7"/>
      <c r="E36" s="7"/>
      <c r="F36" s="7"/>
      <c r="G36" s="7"/>
      <c r="H36" s="7"/>
      <c r="I36" s="7"/>
    </row>
    <row r="37" spans="1:9" ht="15.75" customHeight="1" x14ac:dyDescent="0.3">
      <c r="A37" s="7" t="str">
        <f>'02 Acts - Data'!C21</f>
        <v>Начальник участка ООО «Резонанс-Энерго» ______________________Борков Е.А</v>
      </c>
      <c r="C37" s="7"/>
      <c r="D37" s="7"/>
      <c r="E37" s="7"/>
      <c r="F37" s="7"/>
      <c r="G37" s="7"/>
      <c r="H37" s="7"/>
      <c r="I37" s="7"/>
    </row>
    <row r="38" spans="1:9" ht="15.75" customHeight="1" x14ac:dyDescent="0.3">
      <c r="A38" s="7"/>
      <c r="C38" s="7"/>
      <c r="D38" s="7"/>
      <c r="E38" s="7"/>
      <c r="F38" s="7"/>
      <c r="G38" s="7"/>
      <c r="H38" s="7"/>
      <c r="I38" s="7"/>
    </row>
    <row r="39" spans="1:9" ht="15.75" customHeight="1" x14ac:dyDescent="0.3">
      <c r="A39" s="7"/>
      <c r="C39" s="7"/>
      <c r="D39" s="7"/>
      <c r="E39" s="7"/>
      <c r="F39" s="7"/>
      <c r="G39" s="7"/>
      <c r="H39" s="7"/>
      <c r="I39" s="7"/>
    </row>
    <row r="40" spans="1:9" ht="15.75" customHeight="1" x14ac:dyDescent="0.3"/>
    <row r="41" spans="1:9" ht="15.75" customHeight="1" x14ac:dyDescent="0.3"/>
    <row r="42" spans="1:9" ht="15.75" customHeight="1" x14ac:dyDescent="0.3"/>
    <row r="43" spans="1:9" ht="15.75" customHeight="1" x14ac:dyDescent="0.3"/>
    <row r="44" spans="1:9" ht="15.75" customHeight="1" x14ac:dyDescent="0.3"/>
    <row r="45" spans="1:9" ht="15.75" customHeight="1" x14ac:dyDescent="0.3"/>
    <row r="46" spans="1:9" ht="15.75" customHeight="1" x14ac:dyDescent="0.3"/>
    <row r="47" spans="1:9" ht="15.75" customHeight="1" x14ac:dyDescent="0.3"/>
    <row r="48" spans="1:9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</sheetData>
  <mergeCells count="14">
    <mergeCell ref="C3:K3"/>
    <mergeCell ref="G4:J4"/>
    <mergeCell ref="A5:B5"/>
    <mergeCell ref="G5:K5"/>
    <mergeCell ref="A6:K6"/>
    <mergeCell ref="E22:J22"/>
    <mergeCell ref="D24:F24"/>
    <mergeCell ref="D26:F26"/>
    <mergeCell ref="A28:K28"/>
    <mergeCell ref="A7:K7"/>
    <mergeCell ref="E14:G14"/>
    <mergeCell ref="F17:H17"/>
    <mergeCell ref="C18:H18"/>
    <mergeCell ref="D20:F20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77"/>
  <sheetViews>
    <sheetView zoomScaleNormal="100" workbookViewId="0"/>
  </sheetViews>
  <sheetFormatPr defaultColWidth="8.6640625" defaultRowHeight="15" customHeight="1" x14ac:dyDescent="0.3"/>
  <cols>
    <col min="1" max="1" width="4.109375" customWidth="1"/>
    <col min="2" max="2" width="13.6640625" customWidth="1"/>
    <col min="3" max="3" width="16.5546875" customWidth="1"/>
    <col min="4" max="4" width="10.88671875" customWidth="1"/>
    <col min="5" max="5" width="6.44140625" customWidth="1"/>
    <col min="6" max="6" width="16.6640625" customWidth="1"/>
    <col min="7" max="7" width="10.88671875" customWidth="1"/>
    <col min="8" max="8" width="9.21875" customWidth="1"/>
    <col min="10" max="10" width="8.44140625" customWidth="1"/>
    <col min="11" max="11" width="13" customWidth="1"/>
    <col min="12" max="12" width="0.21875" customWidth="1"/>
    <col min="13" max="13" width="9.109375" customWidth="1"/>
  </cols>
  <sheetData>
    <row r="1" spans="1:26" ht="13.5" customHeight="1" x14ac:dyDescent="0.3">
      <c r="B1" s="19" t="s">
        <v>57</v>
      </c>
      <c r="C1" s="20" t="str">
        <f>'02 Acts - Data'!B14</f>
        <v>ГКУ «УДМС»</v>
      </c>
      <c r="D1" s="20"/>
      <c r="E1" s="20"/>
      <c r="F1" s="20"/>
      <c r="G1" s="21"/>
      <c r="H1" s="20"/>
      <c r="I1" s="20"/>
      <c r="J1" s="20"/>
      <c r="K1" s="20"/>
    </row>
    <row r="2" spans="1:26" ht="13.5" customHeight="1" x14ac:dyDescent="0.3">
      <c r="B2" s="19" t="s">
        <v>75</v>
      </c>
      <c r="C2" s="20" t="str">
        <f>'02 Acts - Data'!B15</f>
        <v>ООО «Резонанс-Энерго»</v>
      </c>
      <c r="D2" s="20"/>
      <c r="E2" s="20"/>
      <c r="F2" s="20"/>
      <c r="G2" s="21"/>
      <c r="H2" s="20"/>
      <c r="I2" s="20"/>
      <c r="J2" s="20"/>
      <c r="K2" s="20"/>
    </row>
    <row r="3" spans="1:26" ht="39.75" customHeight="1" x14ac:dyDescent="0.3">
      <c r="B3" s="22" t="s">
        <v>59</v>
      </c>
      <c r="C3" s="90" t="str">
        <f>'02 Acts - Data'!B4</f>
        <v>"Строительство улично-дорожной сети с искусственными сооружениями и переустройством инженерных коммуникаций на участке от ул. Маршала Шестопалова до Павелецкого направления Московской железной дороги"</v>
      </c>
      <c r="D3" s="90"/>
      <c r="E3" s="90"/>
      <c r="F3" s="90"/>
      <c r="G3" s="90"/>
      <c r="H3" s="90"/>
      <c r="I3" s="90"/>
      <c r="J3" s="90"/>
      <c r="K3" s="90"/>
    </row>
    <row r="4" spans="1:26" ht="13.5" customHeight="1" x14ac:dyDescent="0.3">
      <c r="B4" s="22" t="s">
        <v>60</v>
      </c>
      <c r="C4" s="23" t="str">
        <f>'02 Acts - Data'!B11</f>
        <v>03.06.2024 г.</v>
      </c>
      <c r="G4" s="76"/>
      <c r="H4" s="76"/>
      <c r="I4" s="76"/>
      <c r="J4" s="76"/>
      <c r="K4" s="24"/>
    </row>
    <row r="5" spans="1:26" ht="9.75" customHeight="1" x14ac:dyDescent="0.3">
      <c r="A5" s="71"/>
      <c r="B5" s="71"/>
      <c r="G5" s="77"/>
      <c r="H5" s="77"/>
      <c r="I5" s="77"/>
      <c r="J5" s="77"/>
      <c r="K5" s="77"/>
      <c r="O5" s="25"/>
      <c r="P5" s="25"/>
      <c r="Q5" s="25"/>
      <c r="R5" s="25"/>
      <c r="S5" s="25"/>
    </row>
    <row r="6" spans="1:26" ht="15.75" customHeight="1" x14ac:dyDescent="0.3">
      <c r="A6" s="72" t="s">
        <v>61</v>
      </c>
      <c r="B6" s="72"/>
      <c r="C6" s="72"/>
      <c r="D6" s="72"/>
      <c r="E6" s="72"/>
      <c r="F6" s="72"/>
      <c r="G6" s="72"/>
      <c r="H6" s="72"/>
      <c r="I6" s="72"/>
      <c r="J6" s="72"/>
      <c r="K6" s="72"/>
    </row>
    <row r="7" spans="1:26" ht="15.75" customHeight="1" x14ac:dyDescent="0.3">
      <c r="A7" s="72" t="s">
        <v>151</v>
      </c>
      <c r="B7" s="72"/>
      <c r="C7" s="72"/>
      <c r="D7" s="72"/>
      <c r="E7" s="72"/>
      <c r="F7" s="72"/>
      <c r="G7" s="72"/>
      <c r="H7" s="72"/>
      <c r="I7" s="72"/>
      <c r="J7" s="72"/>
      <c r="K7" s="72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spans="1:26" ht="11.25" customHeight="1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spans="1:26" ht="15.75" customHeight="1" x14ac:dyDescent="0.3">
      <c r="A9" s="25" t="s">
        <v>63</v>
      </c>
      <c r="B9" s="25"/>
      <c r="C9" s="25"/>
      <c r="D9" s="6"/>
      <c r="E9" s="6"/>
      <c r="F9" s="6"/>
      <c r="G9" s="6"/>
      <c r="H9" s="6"/>
      <c r="I9" s="6"/>
      <c r="J9" s="6"/>
      <c r="K9" s="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spans="1:26" ht="15.75" customHeight="1" x14ac:dyDescent="0.3">
      <c r="A10" s="27"/>
      <c r="B10" s="27"/>
      <c r="C10" s="27"/>
      <c r="D10" s="7"/>
      <c r="E10" s="7"/>
      <c r="F10" s="7"/>
      <c r="G10" s="7"/>
      <c r="H10" s="7"/>
      <c r="I10" s="7"/>
      <c r="J10" s="7"/>
      <c r="K10" s="7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8" customHeight="1" x14ac:dyDescent="0.3">
      <c r="A11" s="27" t="str">
        <f>'02 Acts - Data'!B20</f>
        <v xml:space="preserve">Представитель ЮРЭС АО "ОЭК" </v>
      </c>
      <c r="B11" s="28"/>
      <c r="D11" s="27"/>
      <c r="E11" s="27"/>
      <c r="F11" s="27"/>
      <c r="G11" s="27"/>
      <c r="H11" s="27"/>
      <c r="I11" s="27"/>
      <c r="J11" s="27"/>
      <c r="K11" s="27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6" ht="15.75" customHeight="1" x14ac:dyDescent="0.3">
      <c r="A12" s="7" t="str">
        <f>'02 Acts - Data'!B21</f>
        <v>Начальник участка ООО «Резонанс-Энерго» Борков Е.А</v>
      </c>
      <c r="B12" s="28"/>
      <c r="D12" s="7"/>
      <c r="E12" s="7"/>
      <c r="F12" s="7"/>
      <c r="G12" s="7"/>
      <c r="H12" s="7"/>
      <c r="I12" s="7"/>
      <c r="J12" s="7"/>
      <c r="K12" s="7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spans="1:26" ht="15.75" customHeight="1" x14ac:dyDescent="0.3">
      <c r="A13" s="27" t="str">
        <f>'02 Acts - Data'!B22</f>
        <v xml:space="preserve"> </v>
      </c>
      <c r="B13" s="6"/>
      <c r="D13" s="6"/>
      <c r="E13" s="6"/>
      <c r="F13" s="6"/>
      <c r="G13" s="6"/>
      <c r="H13" s="6"/>
      <c r="I13" s="6"/>
      <c r="J13" s="6"/>
      <c r="K13" s="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spans="1:26" ht="15.75" customHeight="1" x14ac:dyDescent="0.3">
      <c r="A14" s="25" t="s">
        <v>77</v>
      </c>
      <c r="B14" s="5"/>
      <c r="C14" s="27"/>
      <c r="D14" s="5"/>
      <c r="E14" s="74" t="str">
        <f>'02 Acts - Data'!B10</f>
        <v>ООО «Резонанс-Энерго»</v>
      </c>
      <c r="F14" s="74"/>
      <c r="G14" s="74"/>
      <c r="H14" s="29"/>
      <c r="I14" s="29"/>
      <c r="J14" s="29"/>
      <c r="K14" s="27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spans="1:26" ht="15.75" customHeight="1" x14ac:dyDescent="0.3">
      <c r="A15" s="29" t="s">
        <v>78</v>
      </c>
      <c r="B15" s="29"/>
      <c r="C15" s="29"/>
      <c r="D15" s="27"/>
      <c r="E15" s="27"/>
      <c r="F15" s="29"/>
      <c r="G15" s="29"/>
      <c r="H15" s="29"/>
      <c r="I15" s="29"/>
      <c r="J15" s="27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6" ht="15.75" customHeight="1" x14ac:dyDescent="0.3">
      <c r="A16" s="7" t="s">
        <v>79</v>
      </c>
      <c r="B16" s="5"/>
      <c r="C16" s="27"/>
      <c r="D16" s="6"/>
      <c r="E16" s="6"/>
      <c r="F16" s="6"/>
      <c r="G16" s="6"/>
      <c r="H16" s="6"/>
      <c r="I16" s="6"/>
      <c r="J16" s="6"/>
      <c r="K16" s="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ht="15.75" customHeight="1" x14ac:dyDescent="0.3">
      <c r="A17" s="7" t="s">
        <v>152</v>
      </c>
      <c r="B17" s="5"/>
      <c r="C17" s="27"/>
      <c r="D17" s="29"/>
      <c r="E17" s="74" t="str">
        <f>'02 Acts - Data'!B6</f>
        <v>ГНБ № 10-1С</v>
      </c>
      <c r="F17" s="74"/>
      <c r="G17" s="74"/>
      <c r="H17" s="7" t="s">
        <v>153</v>
      </c>
      <c r="J17" s="5"/>
      <c r="K17" s="5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ht="15.75" customHeight="1" x14ac:dyDescent="0.3">
      <c r="A18" s="7" t="s">
        <v>82</v>
      </c>
      <c r="B18" s="5"/>
      <c r="C18" s="78" t="str">
        <f>'02 Acts - Data'!B5</f>
        <v>По адресу: г. Москва, ул. Кантемировская, д.60</v>
      </c>
      <c r="D18" s="78"/>
      <c r="E18" s="78"/>
      <c r="F18" s="78"/>
      <c r="G18" s="78"/>
      <c r="H18" s="78"/>
      <c r="I18" s="7"/>
      <c r="J18" s="5"/>
      <c r="K18" s="5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spans="1:26" ht="15.75" customHeight="1" x14ac:dyDescent="0.3">
      <c r="A19" s="32"/>
      <c r="B19" s="32"/>
      <c r="C19" s="27"/>
      <c r="D19" s="1"/>
      <c r="E19" s="1"/>
      <c r="F19" s="34"/>
      <c r="G19" s="1"/>
      <c r="H19" s="1"/>
      <c r="I19" s="34"/>
      <c r="J19" s="5"/>
      <c r="K19" s="5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spans="1:26" ht="15.75" customHeight="1" x14ac:dyDescent="0.3">
      <c r="A20" s="58" t="s">
        <v>154</v>
      </c>
      <c r="B20" s="58"/>
      <c r="C20" s="58"/>
      <c r="D20" s="29"/>
      <c r="E20" s="104">
        <f>'02 Acts - Data'!H31</f>
        <v>6.609230769230769</v>
      </c>
      <c r="F20" s="104"/>
      <c r="G20" s="27"/>
      <c r="H20" s="27"/>
      <c r="I20" s="29"/>
      <c r="J20" s="29"/>
      <c r="K20" s="5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spans="1:26" ht="15.75" customHeight="1" x14ac:dyDescent="0.3">
      <c r="A21" s="7"/>
      <c r="B21" s="7"/>
      <c r="C21" s="27"/>
      <c r="D21" s="34"/>
      <c r="E21" s="34"/>
      <c r="F21" s="34"/>
      <c r="G21" s="1"/>
      <c r="H21" s="29"/>
      <c r="I21" s="29"/>
      <c r="J21" s="29"/>
      <c r="K21" s="5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spans="1:26" ht="15.75" customHeight="1" x14ac:dyDescent="0.3">
      <c r="A22" s="7" t="s">
        <v>155</v>
      </c>
      <c r="B22" s="7"/>
      <c r="C22" s="27"/>
      <c r="D22" s="74" t="str">
        <f>'02 Acts - Data'!B16</f>
        <v>АО "МОСИНЖПРОЕКТ"</v>
      </c>
      <c r="E22" s="74"/>
      <c r="F22" s="74"/>
      <c r="G22" s="1" t="s">
        <v>84</v>
      </c>
      <c r="H22" s="30" t="str">
        <f>'02 Acts - Data'!B7</f>
        <v>ИМ-19-4-Р-3.2Э-ЗП2</v>
      </c>
      <c r="I22" s="29"/>
      <c r="J22" s="29"/>
      <c r="K22" s="5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spans="1:26" ht="15.75" customHeight="1" x14ac:dyDescent="0.3">
      <c r="A23" s="7"/>
      <c r="B23" s="7"/>
      <c r="C23" s="27"/>
      <c r="D23" s="34"/>
      <c r="E23" s="34"/>
      <c r="F23" s="34"/>
      <c r="G23" s="1"/>
      <c r="H23" s="34"/>
      <c r="I23" s="34"/>
      <c r="J23" s="34"/>
      <c r="K23" s="5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spans="1:26" ht="25.5" customHeight="1" x14ac:dyDescent="0.3">
      <c r="A24" s="7" t="s">
        <v>156</v>
      </c>
      <c r="B24" s="7"/>
      <c r="C24" s="27"/>
      <c r="D24" s="34"/>
      <c r="E24" s="84" t="str">
        <f>'02 Acts - Data'!B26</f>
        <v>Труба "ПЭ тип "С" 110*6,3 техническая (L012) (паспорт  качества от 23.08.2021г.)</v>
      </c>
      <c r="F24" s="84"/>
      <c r="G24" s="84"/>
      <c r="H24" s="84"/>
      <c r="I24" s="84"/>
      <c r="J24" s="84"/>
      <c r="K24" s="5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spans="1:26" ht="15.75" customHeight="1" x14ac:dyDescent="0.3">
      <c r="A25" s="32"/>
      <c r="B25" s="32"/>
      <c r="C25" s="27"/>
      <c r="D25" s="1"/>
      <c r="E25" s="20"/>
      <c r="F25" s="20"/>
      <c r="G25" s="1"/>
      <c r="H25" s="27"/>
      <c r="I25" s="27"/>
      <c r="J25" s="5"/>
      <c r="K25" s="5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spans="1:26" ht="15.75" customHeight="1" x14ac:dyDescent="0.3">
      <c r="A26" s="7" t="s">
        <v>126</v>
      </c>
      <c r="B26" s="32"/>
      <c r="C26" s="27"/>
      <c r="D26" s="74" t="str">
        <f>'02 Acts - Data'!B8</f>
        <v>01.06.2024 г.</v>
      </c>
      <c r="E26" s="74"/>
      <c r="F26" s="74"/>
      <c r="G26" s="1"/>
      <c r="H26" s="20"/>
      <c r="I26" s="20"/>
      <c r="J26" s="5"/>
      <c r="K26" s="5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spans="1:26" ht="15.75" customHeight="1" x14ac:dyDescent="0.3">
      <c r="A27" s="32"/>
      <c r="B27" s="32"/>
      <c r="C27" s="27"/>
      <c r="D27" s="20"/>
      <c r="E27" s="5"/>
      <c r="F27" s="5"/>
      <c r="G27" s="5"/>
      <c r="H27" s="5"/>
      <c r="I27" s="5"/>
      <c r="J27" s="5"/>
      <c r="K27" s="5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spans="1:26" ht="15.75" customHeight="1" x14ac:dyDescent="0.3">
      <c r="A28" s="7" t="s">
        <v>127</v>
      </c>
      <c r="B28" s="32"/>
      <c r="C28" s="27"/>
      <c r="D28" s="74" t="str">
        <f>'02 Acts - Data'!B9</f>
        <v>03.06.2024 г.</v>
      </c>
      <c r="E28" s="74"/>
      <c r="F28" s="74"/>
      <c r="G28" s="5"/>
      <c r="H28" s="5"/>
      <c r="I28" s="5"/>
      <c r="J28" s="5"/>
      <c r="K28" s="5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spans="1:26" ht="15.75" customHeight="1" x14ac:dyDescent="0.3">
      <c r="A29" s="32"/>
      <c r="B29" s="32"/>
      <c r="C29" s="27"/>
      <c r="D29" s="5"/>
      <c r="E29" s="5"/>
      <c r="F29" s="5"/>
      <c r="G29" s="5"/>
      <c r="H29" s="5"/>
      <c r="I29" s="5"/>
      <c r="J29" s="5"/>
      <c r="K29" s="5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spans="1:26" ht="15.75" customHeight="1" x14ac:dyDescent="0.3">
      <c r="A30" s="72" t="s">
        <v>88</v>
      </c>
      <c r="B30" s="72"/>
      <c r="C30" s="72"/>
      <c r="D30" s="72"/>
      <c r="E30" s="72"/>
      <c r="F30" s="72"/>
      <c r="G30" s="72"/>
      <c r="H30" s="72"/>
      <c r="I30" s="72"/>
      <c r="J30" s="72"/>
      <c r="K30" s="72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spans="1:26" ht="15.75" customHeight="1" x14ac:dyDescent="0.3">
      <c r="A31" s="7" t="s">
        <v>89</v>
      </c>
      <c r="B31" s="32"/>
      <c r="C31" s="27"/>
      <c r="D31" s="5"/>
      <c r="E31" s="5"/>
      <c r="F31" s="5"/>
      <c r="G31" s="5"/>
      <c r="H31" s="5"/>
      <c r="I31" s="5"/>
      <c r="J31" s="5"/>
      <c r="K31" s="5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spans="1:26" ht="15.75" customHeight="1" x14ac:dyDescent="0.3">
      <c r="A32" s="7" t="s">
        <v>157</v>
      </c>
      <c r="B32" s="32"/>
      <c r="C32" s="27"/>
      <c r="D32" s="5"/>
      <c r="E32" s="29"/>
      <c r="F32" s="29"/>
      <c r="G32" s="29"/>
      <c r="H32" s="32"/>
      <c r="I32" s="5"/>
      <c r="J32" s="5"/>
      <c r="K32" s="5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spans="1:26" ht="15.75" customHeight="1" x14ac:dyDescent="0.3">
      <c r="A33" s="32"/>
      <c r="B33" s="32"/>
      <c r="C33" s="27"/>
      <c r="D33" s="5"/>
      <c r="E33" s="34"/>
      <c r="F33" s="34"/>
      <c r="G33" s="34"/>
      <c r="H33" s="32"/>
      <c r="I33" s="5"/>
      <c r="J33" s="5"/>
      <c r="K33" s="5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spans="1:26" ht="15.75" customHeight="1" x14ac:dyDescent="0.3">
      <c r="A34" s="32"/>
      <c r="B34" s="32"/>
      <c r="C34" s="27"/>
      <c r="D34" s="5"/>
      <c r="E34" s="5"/>
      <c r="F34" s="5"/>
      <c r="G34" s="5"/>
      <c r="H34" s="5"/>
      <c r="I34" s="5"/>
      <c r="J34" s="5"/>
      <c r="K34" s="5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spans="1:26" ht="15.75" customHeight="1" x14ac:dyDescent="0.3"/>
    <row r="36" spans="1:26" ht="15.75" customHeight="1" x14ac:dyDescent="0.3"/>
    <row r="37" spans="1:26" ht="15.75" customHeight="1" x14ac:dyDescent="0.3">
      <c r="A37" s="7" t="str">
        <f>'02 Acts - Data'!C20</f>
        <v>Представитель Южного РЭС АО "ОЭК" ____________________</v>
      </c>
      <c r="C37" s="7"/>
      <c r="D37" s="7"/>
      <c r="E37" s="7"/>
      <c r="F37" s="7"/>
      <c r="G37" s="7"/>
      <c r="H37" s="7"/>
      <c r="I37" s="7"/>
    </row>
    <row r="38" spans="1:26" ht="15.75" customHeight="1" x14ac:dyDescent="0.3">
      <c r="A38" s="7"/>
      <c r="C38" s="7"/>
      <c r="D38" s="7"/>
      <c r="E38" s="7"/>
      <c r="F38" s="7"/>
      <c r="G38" s="7"/>
      <c r="H38" s="7"/>
      <c r="I38" s="7"/>
    </row>
    <row r="39" spans="1:26" ht="15.75" customHeight="1" x14ac:dyDescent="0.3">
      <c r="A39" s="7" t="str">
        <f>'02 Acts - Data'!C21</f>
        <v>Начальник участка ООО «Резонанс-Энерго» ______________________Борков Е.А</v>
      </c>
      <c r="C39" s="7"/>
      <c r="D39" s="7"/>
      <c r="E39" s="7"/>
      <c r="F39" s="7"/>
      <c r="G39" s="7"/>
      <c r="H39" s="7"/>
      <c r="I39" s="7"/>
    </row>
    <row r="40" spans="1:26" ht="15.75" customHeight="1" x14ac:dyDescent="0.3">
      <c r="A40" s="7"/>
      <c r="C40" s="7"/>
      <c r="D40" s="7"/>
      <c r="E40" s="7"/>
      <c r="F40" s="7"/>
      <c r="G40" s="7"/>
      <c r="H40" s="7"/>
      <c r="I40" s="7"/>
    </row>
    <row r="41" spans="1:26" ht="15.75" customHeight="1" x14ac:dyDescent="0.3">
      <c r="A41" s="7"/>
      <c r="C41" s="7"/>
      <c r="D41" s="7"/>
      <c r="E41" s="7"/>
      <c r="F41" s="7"/>
      <c r="G41" s="7"/>
      <c r="H41" s="7"/>
      <c r="I41" s="7"/>
    </row>
    <row r="42" spans="1:26" ht="15.75" customHeight="1" x14ac:dyDescent="0.3"/>
    <row r="43" spans="1:26" ht="15.75" customHeight="1" x14ac:dyDescent="0.3"/>
    <row r="44" spans="1:26" ht="15.75" customHeight="1" x14ac:dyDescent="0.3"/>
    <row r="45" spans="1:26" ht="15.75" customHeight="1" x14ac:dyDescent="0.3"/>
    <row r="46" spans="1:26" ht="15.75" customHeight="1" x14ac:dyDescent="0.3"/>
    <row r="47" spans="1:26" ht="15.75" customHeight="1" x14ac:dyDescent="0.3"/>
    <row r="48" spans="1:26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</sheetData>
  <mergeCells count="15">
    <mergeCell ref="C3:K3"/>
    <mergeCell ref="G4:J4"/>
    <mergeCell ref="A5:B5"/>
    <mergeCell ref="G5:K5"/>
    <mergeCell ref="A6:K6"/>
    <mergeCell ref="A7:K7"/>
    <mergeCell ref="E14:G14"/>
    <mergeCell ref="E17:G17"/>
    <mergeCell ref="C18:H18"/>
    <mergeCell ref="E20:F20"/>
    <mergeCell ref="D22:F22"/>
    <mergeCell ref="E24:J24"/>
    <mergeCell ref="D26:F26"/>
    <mergeCell ref="D28:F28"/>
    <mergeCell ref="A30:K30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W72"/>
  <sheetViews>
    <sheetView zoomScaleNormal="100" workbookViewId="0"/>
  </sheetViews>
  <sheetFormatPr defaultColWidth="8.6640625" defaultRowHeight="15" customHeight="1" x14ac:dyDescent="0.3"/>
  <cols>
    <col min="2" max="2" width="9.6640625" customWidth="1"/>
    <col min="3" max="3" width="9.109375" customWidth="1"/>
    <col min="4" max="4" width="1.5546875" customWidth="1"/>
    <col min="5" max="5" width="9.109375" customWidth="1"/>
    <col min="6" max="6" width="7.6640625" customWidth="1"/>
    <col min="7" max="7" width="13.109375" customWidth="1"/>
    <col min="8" max="8" width="7.21875" customWidth="1"/>
    <col min="9" max="9" width="24" customWidth="1"/>
    <col min="10" max="10" width="10.109375" customWidth="1"/>
    <col min="11" max="11" width="31.109375" customWidth="1"/>
    <col min="12" max="12" width="9.109375" customWidth="1"/>
  </cols>
  <sheetData>
    <row r="1" spans="1:257" ht="13.5" customHeight="1" x14ac:dyDescent="0.3">
      <c r="A1" s="27"/>
      <c r="B1" s="19" t="s">
        <v>57</v>
      </c>
      <c r="C1" s="20" t="str">
        <f>'02 Acts - Data'!B14</f>
        <v>ГКУ «УДМС»</v>
      </c>
      <c r="D1" s="20"/>
      <c r="E1" s="20"/>
      <c r="F1" s="23"/>
      <c r="G1" s="21"/>
      <c r="H1" s="20"/>
      <c r="I1" s="20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27"/>
      <c r="EE1" s="27"/>
      <c r="EF1" s="27"/>
      <c r="EG1" s="27"/>
      <c r="EH1" s="27"/>
      <c r="EI1" s="27"/>
      <c r="EJ1" s="27"/>
      <c r="EK1" s="27"/>
      <c r="EL1" s="27"/>
      <c r="EM1" s="27"/>
      <c r="EN1" s="27"/>
      <c r="EO1" s="27"/>
      <c r="EP1" s="27"/>
      <c r="EQ1" s="27"/>
      <c r="ER1" s="27"/>
      <c r="ES1" s="27"/>
      <c r="ET1" s="27"/>
      <c r="EU1" s="27"/>
      <c r="EV1" s="27"/>
      <c r="EW1" s="27"/>
      <c r="EX1" s="27"/>
      <c r="EY1" s="27"/>
      <c r="EZ1" s="27"/>
      <c r="FA1" s="27"/>
      <c r="FB1" s="27"/>
      <c r="FC1" s="27"/>
      <c r="FD1" s="27"/>
      <c r="FE1" s="27"/>
      <c r="FF1" s="27"/>
      <c r="FG1" s="27"/>
      <c r="FH1" s="27"/>
      <c r="FI1" s="27"/>
      <c r="FJ1" s="27"/>
      <c r="FK1" s="27"/>
      <c r="FL1" s="27"/>
      <c r="FM1" s="27"/>
      <c r="FN1" s="27"/>
      <c r="FO1" s="27"/>
      <c r="FP1" s="27"/>
      <c r="FQ1" s="27"/>
      <c r="FR1" s="27"/>
      <c r="FS1" s="27"/>
      <c r="FT1" s="27"/>
      <c r="FU1" s="27"/>
      <c r="FV1" s="27"/>
      <c r="FW1" s="27"/>
      <c r="FX1" s="27"/>
      <c r="FY1" s="27"/>
      <c r="FZ1" s="27"/>
      <c r="GA1" s="27"/>
      <c r="GB1" s="27"/>
      <c r="GC1" s="27"/>
      <c r="GD1" s="27"/>
      <c r="GE1" s="27"/>
      <c r="GF1" s="27"/>
      <c r="GG1" s="27"/>
      <c r="GH1" s="27"/>
      <c r="GI1" s="27"/>
      <c r="GJ1" s="27"/>
      <c r="GK1" s="27"/>
      <c r="GL1" s="27"/>
      <c r="GM1" s="27"/>
      <c r="GN1" s="27"/>
      <c r="GO1" s="27"/>
      <c r="GP1" s="27"/>
      <c r="GQ1" s="27"/>
      <c r="GR1" s="27"/>
      <c r="GS1" s="27"/>
      <c r="GT1" s="27"/>
      <c r="GU1" s="27"/>
      <c r="GV1" s="27"/>
      <c r="GW1" s="27"/>
      <c r="GX1" s="27"/>
      <c r="GY1" s="27"/>
      <c r="GZ1" s="27"/>
      <c r="HA1" s="27"/>
      <c r="HB1" s="27"/>
      <c r="HC1" s="27"/>
      <c r="HD1" s="27"/>
      <c r="HE1" s="27"/>
      <c r="HF1" s="27"/>
      <c r="HG1" s="27"/>
      <c r="HH1" s="27"/>
      <c r="HI1" s="27"/>
      <c r="HJ1" s="27"/>
      <c r="HK1" s="27"/>
      <c r="HL1" s="27"/>
      <c r="HM1" s="27"/>
      <c r="HN1" s="27"/>
      <c r="HO1" s="27"/>
      <c r="HP1" s="27"/>
      <c r="HQ1" s="27"/>
      <c r="HR1" s="27"/>
      <c r="HS1" s="27"/>
      <c r="HT1" s="27"/>
      <c r="HU1" s="27"/>
      <c r="HV1" s="27"/>
      <c r="HW1" s="27"/>
      <c r="HX1" s="27"/>
      <c r="HY1" s="27"/>
      <c r="HZ1" s="27"/>
      <c r="IA1" s="27"/>
      <c r="IB1" s="27"/>
      <c r="IC1" s="27"/>
      <c r="ID1" s="27"/>
      <c r="IE1" s="27"/>
      <c r="IF1" s="27"/>
      <c r="IG1" s="27"/>
      <c r="IH1" s="27"/>
      <c r="II1" s="27"/>
      <c r="IJ1" s="27"/>
      <c r="IK1" s="27"/>
      <c r="IL1" s="27"/>
      <c r="IM1" s="27"/>
      <c r="IN1" s="27"/>
      <c r="IO1" s="27"/>
      <c r="IP1" s="27"/>
      <c r="IQ1" s="27"/>
      <c r="IR1" s="27"/>
      <c r="IS1" s="27"/>
      <c r="IT1" s="27"/>
      <c r="IU1" s="27"/>
      <c r="IV1" s="27"/>
      <c r="IW1" s="27"/>
    </row>
    <row r="2" spans="1:257" ht="13.5" customHeight="1" x14ac:dyDescent="0.3">
      <c r="A2" s="27"/>
      <c r="B2" s="19" t="s">
        <v>75</v>
      </c>
      <c r="C2" s="20" t="str">
        <f>'02 Acts - Data'!B15</f>
        <v>ООО «Резонанс-Энерго»</v>
      </c>
      <c r="D2" s="20"/>
      <c r="E2" s="20"/>
      <c r="F2" s="23"/>
      <c r="G2" s="21"/>
      <c r="H2" s="20"/>
      <c r="I2" s="20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7"/>
      <c r="BQ2" s="27"/>
      <c r="BR2" s="27"/>
      <c r="BS2" s="27"/>
      <c r="BT2" s="27"/>
      <c r="BU2" s="27"/>
      <c r="BV2" s="27"/>
      <c r="BW2" s="27"/>
      <c r="BX2" s="27"/>
      <c r="BY2" s="27"/>
      <c r="BZ2" s="27"/>
      <c r="CA2" s="27"/>
      <c r="CB2" s="27"/>
      <c r="CC2" s="27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  <c r="CO2" s="27"/>
      <c r="CP2" s="27"/>
      <c r="CQ2" s="27"/>
      <c r="CR2" s="27"/>
      <c r="CS2" s="27"/>
      <c r="CT2" s="27"/>
      <c r="CU2" s="27"/>
      <c r="CV2" s="27"/>
      <c r="CW2" s="27"/>
      <c r="CX2" s="27"/>
      <c r="CY2" s="27"/>
      <c r="CZ2" s="27"/>
      <c r="DA2" s="27"/>
      <c r="DB2" s="27"/>
      <c r="DC2" s="27"/>
      <c r="DD2" s="27"/>
      <c r="DE2" s="27"/>
      <c r="DF2" s="27"/>
      <c r="DG2" s="27"/>
      <c r="DH2" s="27"/>
      <c r="DI2" s="27"/>
      <c r="DJ2" s="27"/>
      <c r="DK2" s="27"/>
      <c r="DL2" s="27"/>
      <c r="DM2" s="27"/>
      <c r="DN2" s="27"/>
      <c r="DO2" s="27"/>
      <c r="DP2" s="27"/>
      <c r="DQ2" s="27"/>
      <c r="DR2" s="27"/>
      <c r="DS2" s="27"/>
      <c r="DT2" s="27"/>
      <c r="DU2" s="27"/>
      <c r="DV2" s="27"/>
      <c r="DW2" s="27"/>
      <c r="DX2" s="27"/>
      <c r="DY2" s="27"/>
      <c r="DZ2" s="27"/>
      <c r="EA2" s="27"/>
      <c r="EB2" s="27"/>
      <c r="EC2" s="27"/>
      <c r="ED2" s="27"/>
      <c r="EE2" s="27"/>
      <c r="EF2" s="27"/>
      <c r="EG2" s="27"/>
      <c r="EH2" s="27"/>
      <c r="EI2" s="27"/>
      <c r="EJ2" s="27"/>
      <c r="EK2" s="27"/>
      <c r="EL2" s="27"/>
      <c r="EM2" s="27"/>
      <c r="EN2" s="27"/>
      <c r="EO2" s="27"/>
      <c r="EP2" s="27"/>
      <c r="EQ2" s="27"/>
      <c r="ER2" s="27"/>
      <c r="ES2" s="27"/>
      <c r="ET2" s="27"/>
      <c r="EU2" s="27"/>
      <c r="EV2" s="27"/>
      <c r="EW2" s="27"/>
      <c r="EX2" s="27"/>
      <c r="EY2" s="27"/>
      <c r="EZ2" s="27"/>
      <c r="FA2" s="27"/>
      <c r="FB2" s="27"/>
      <c r="FC2" s="27"/>
      <c r="FD2" s="27"/>
      <c r="FE2" s="27"/>
      <c r="FF2" s="27"/>
      <c r="FG2" s="27"/>
      <c r="FH2" s="27"/>
      <c r="FI2" s="27"/>
      <c r="FJ2" s="27"/>
      <c r="FK2" s="27"/>
      <c r="FL2" s="27"/>
      <c r="FM2" s="27"/>
      <c r="FN2" s="27"/>
      <c r="FO2" s="27"/>
      <c r="FP2" s="27"/>
      <c r="FQ2" s="27"/>
      <c r="FR2" s="27"/>
      <c r="FS2" s="27"/>
      <c r="FT2" s="27"/>
      <c r="FU2" s="27"/>
      <c r="FV2" s="27"/>
      <c r="FW2" s="27"/>
      <c r="FX2" s="27"/>
      <c r="FY2" s="27"/>
      <c r="FZ2" s="27"/>
      <c r="GA2" s="27"/>
      <c r="GB2" s="27"/>
      <c r="GC2" s="27"/>
      <c r="GD2" s="27"/>
      <c r="GE2" s="27"/>
      <c r="GF2" s="27"/>
      <c r="GG2" s="27"/>
      <c r="GH2" s="27"/>
      <c r="GI2" s="27"/>
      <c r="GJ2" s="27"/>
      <c r="GK2" s="27"/>
      <c r="GL2" s="27"/>
      <c r="GM2" s="27"/>
      <c r="GN2" s="27"/>
      <c r="GO2" s="27"/>
      <c r="GP2" s="27"/>
      <c r="GQ2" s="27"/>
      <c r="GR2" s="27"/>
      <c r="GS2" s="27"/>
      <c r="GT2" s="27"/>
      <c r="GU2" s="27"/>
      <c r="GV2" s="27"/>
      <c r="GW2" s="27"/>
      <c r="GX2" s="27"/>
      <c r="GY2" s="27"/>
      <c r="GZ2" s="27"/>
      <c r="HA2" s="27"/>
      <c r="HB2" s="27"/>
      <c r="HC2" s="27"/>
      <c r="HD2" s="27"/>
      <c r="HE2" s="27"/>
      <c r="HF2" s="27"/>
      <c r="HG2" s="27"/>
      <c r="HH2" s="27"/>
      <c r="HI2" s="27"/>
      <c r="HJ2" s="27"/>
      <c r="HK2" s="27"/>
      <c r="HL2" s="27"/>
      <c r="HM2" s="27"/>
      <c r="HN2" s="27"/>
      <c r="HO2" s="27"/>
      <c r="HP2" s="27"/>
      <c r="HQ2" s="27"/>
      <c r="HR2" s="27"/>
      <c r="HS2" s="27"/>
      <c r="HT2" s="27"/>
      <c r="HU2" s="27"/>
      <c r="HV2" s="27"/>
      <c r="HW2" s="27"/>
      <c r="HX2" s="27"/>
      <c r="HY2" s="27"/>
      <c r="HZ2" s="27"/>
      <c r="IA2" s="27"/>
      <c r="IB2" s="27"/>
      <c r="IC2" s="27"/>
      <c r="ID2" s="27"/>
      <c r="IE2" s="27"/>
      <c r="IF2" s="27"/>
      <c r="IG2" s="27"/>
      <c r="IH2" s="27"/>
      <c r="II2" s="27"/>
      <c r="IJ2" s="27"/>
      <c r="IK2" s="27"/>
      <c r="IL2" s="27"/>
      <c r="IM2" s="27"/>
      <c r="IN2" s="27"/>
      <c r="IO2" s="27"/>
      <c r="IP2" s="27"/>
      <c r="IQ2" s="27"/>
      <c r="IR2" s="27"/>
      <c r="IS2" s="27"/>
      <c r="IT2" s="27"/>
      <c r="IU2" s="27"/>
      <c r="IV2" s="27"/>
      <c r="IW2" s="27"/>
    </row>
    <row r="3" spans="1:257" ht="59.25" customHeight="1" x14ac:dyDescent="0.3">
      <c r="A3" s="27"/>
      <c r="B3" s="22" t="s">
        <v>59</v>
      </c>
      <c r="C3" s="75" t="str">
        <f>'02 Acts - Data'!B4</f>
        <v>"Строительство улично-дорожной сети с искусственными сооружениями и переустройством инженерных коммуникаций на участке от ул. Маршала Шестопалова до Павелецкого направления Московской железной дороги"</v>
      </c>
      <c r="D3" s="75"/>
      <c r="E3" s="75"/>
      <c r="F3" s="75"/>
      <c r="G3" s="75"/>
      <c r="H3" s="75"/>
      <c r="I3" s="75"/>
      <c r="J3" s="59"/>
      <c r="K3" s="59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  <c r="CO3" s="27"/>
      <c r="CP3" s="27"/>
      <c r="CQ3" s="27"/>
      <c r="CR3" s="27"/>
      <c r="CS3" s="27"/>
      <c r="CT3" s="27"/>
      <c r="CU3" s="27"/>
      <c r="CV3" s="27"/>
      <c r="CW3" s="27"/>
      <c r="CX3" s="27"/>
      <c r="CY3" s="27"/>
      <c r="CZ3" s="27"/>
      <c r="DA3" s="27"/>
      <c r="DB3" s="27"/>
      <c r="DC3" s="27"/>
      <c r="DD3" s="27"/>
      <c r="DE3" s="27"/>
      <c r="DF3" s="27"/>
      <c r="DG3" s="27"/>
      <c r="DH3" s="27"/>
      <c r="DI3" s="27"/>
      <c r="DJ3" s="27"/>
      <c r="DK3" s="27"/>
      <c r="DL3" s="27"/>
      <c r="DM3" s="27"/>
      <c r="DN3" s="27"/>
      <c r="DO3" s="27"/>
      <c r="DP3" s="27"/>
      <c r="DQ3" s="27"/>
      <c r="DR3" s="27"/>
      <c r="DS3" s="27"/>
      <c r="DT3" s="27"/>
      <c r="DU3" s="27"/>
      <c r="DV3" s="27"/>
      <c r="DW3" s="27"/>
      <c r="DX3" s="27"/>
      <c r="DY3" s="27"/>
      <c r="DZ3" s="27"/>
      <c r="EA3" s="27"/>
      <c r="EB3" s="27"/>
      <c r="EC3" s="27"/>
      <c r="ED3" s="27"/>
      <c r="EE3" s="27"/>
      <c r="EF3" s="27"/>
      <c r="EG3" s="27"/>
      <c r="EH3" s="27"/>
      <c r="EI3" s="27"/>
      <c r="EJ3" s="27"/>
      <c r="EK3" s="27"/>
      <c r="EL3" s="27"/>
      <c r="EM3" s="27"/>
      <c r="EN3" s="27"/>
      <c r="EO3" s="27"/>
      <c r="EP3" s="27"/>
      <c r="EQ3" s="27"/>
      <c r="ER3" s="27"/>
      <c r="ES3" s="27"/>
      <c r="ET3" s="27"/>
      <c r="EU3" s="27"/>
      <c r="EV3" s="27"/>
      <c r="EW3" s="27"/>
      <c r="EX3" s="27"/>
      <c r="EY3" s="27"/>
      <c r="EZ3" s="27"/>
      <c r="FA3" s="27"/>
      <c r="FB3" s="27"/>
      <c r="FC3" s="27"/>
      <c r="FD3" s="27"/>
      <c r="FE3" s="27"/>
      <c r="FF3" s="27"/>
      <c r="FG3" s="27"/>
      <c r="FH3" s="27"/>
      <c r="FI3" s="27"/>
      <c r="FJ3" s="27"/>
      <c r="FK3" s="27"/>
      <c r="FL3" s="27"/>
      <c r="FM3" s="27"/>
      <c r="FN3" s="27"/>
      <c r="FO3" s="27"/>
      <c r="FP3" s="27"/>
      <c r="FQ3" s="27"/>
      <c r="FR3" s="27"/>
      <c r="FS3" s="27"/>
      <c r="FT3" s="27"/>
      <c r="FU3" s="27"/>
      <c r="FV3" s="27"/>
      <c r="FW3" s="27"/>
      <c r="FX3" s="27"/>
      <c r="FY3" s="27"/>
      <c r="FZ3" s="27"/>
      <c r="GA3" s="27"/>
      <c r="GB3" s="27"/>
      <c r="GC3" s="27"/>
      <c r="GD3" s="27"/>
      <c r="GE3" s="27"/>
      <c r="GF3" s="27"/>
      <c r="GG3" s="27"/>
      <c r="GH3" s="27"/>
      <c r="GI3" s="27"/>
      <c r="GJ3" s="27"/>
      <c r="GK3" s="27"/>
      <c r="GL3" s="27"/>
      <c r="GM3" s="27"/>
      <c r="GN3" s="27"/>
      <c r="GO3" s="27"/>
      <c r="GP3" s="27"/>
      <c r="GQ3" s="27"/>
      <c r="GR3" s="27"/>
      <c r="GS3" s="27"/>
      <c r="GT3" s="27"/>
      <c r="GU3" s="27"/>
      <c r="GV3" s="27"/>
      <c r="GW3" s="27"/>
      <c r="GX3" s="27"/>
      <c r="GY3" s="27"/>
      <c r="GZ3" s="27"/>
      <c r="HA3" s="27"/>
      <c r="HB3" s="27"/>
      <c r="HC3" s="27"/>
      <c r="HD3" s="27"/>
      <c r="HE3" s="27"/>
      <c r="HF3" s="27"/>
      <c r="HG3" s="27"/>
      <c r="HH3" s="27"/>
      <c r="HI3" s="27"/>
      <c r="HJ3" s="27"/>
      <c r="HK3" s="27"/>
      <c r="HL3" s="27"/>
      <c r="HM3" s="27"/>
      <c r="HN3" s="27"/>
      <c r="HO3" s="27"/>
      <c r="HP3" s="27"/>
      <c r="HQ3" s="27"/>
      <c r="HR3" s="27"/>
      <c r="HS3" s="27"/>
      <c r="HT3" s="27"/>
      <c r="HU3" s="27"/>
      <c r="HV3" s="27"/>
      <c r="HW3" s="27"/>
      <c r="HX3" s="27"/>
      <c r="HY3" s="27"/>
      <c r="HZ3" s="27"/>
      <c r="IA3" s="27"/>
      <c r="IB3" s="27"/>
      <c r="IC3" s="27"/>
      <c r="ID3" s="27"/>
      <c r="IE3" s="27"/>
      <c r="IF3" s="27"/>
      <c r="IG3" s="27"/>
      <c r="IH3" s="27"/>
      <c r="II3" s="27"/>
      <c r="IJ3" s="27"/>
      <c r="IK3" s="27"/>
      <c r="IL3" s="27"/>
      <c r="IM3" s="27"/>
      <c r="IN3" s="27"/>
      <c r="IO3" s="27"/>
      <c r="IP3" s="27"/>
      <c r="IQ3" s="27"/>
      <c r="IR3" s="27"/>
      <c r="IS3" s="27"/>
      <c r="IT3" s="27"/>
      <c r="IU3" s="27"/>
      <c r="IV3" s="27"/>
      <c r="IW3" s="27"/>
    </row>
    <row r="4" spans="1:257" ht="13.5" customHeight="1" x14ac:dyDescent="0.3">
      <c r="A4" s="27"/>
      <c r="B4" s="22" t="s">
        <v>60</v>
      </c>
      <c r="C4" s="109" t="str">
        <f>'02 Acts - Data'!B11</f>
        <v>03.06.2024 г.</v>
      </c>
      <c r="D4" s="109"/>
      <c r="E4" s="109"/>
      <c r="F4" s="22"/>
      <c r="G4" s="110"/>
      <c r="H4" s="110"/>
      <c r="I4" s="110"/>
      <c r="J4" s="24"/>
      <c r="K4" s="24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  <c r="EY4" s="27"/>
      <c r="EZ4" s="27"/>
      <c r="FA4" s="27"/>
      <c r="FB4" s="27"/>
      <c r="FC4" s="27"/>
      <c r="FD4" s="27"/>
      <c r="FE4" s="27"/>
      <c r="FF4" s="27"/>
      <c r="FG4" s="27"/>
      <c r="FH4" s="27"/>
      <c r="FI4" s="27"/>
      <c r="FJ4" s="27"/>
      <c r="FK4" s="27"/>
      <c r="FL4" s="27"/>
      <c r="FM4" s="27"/>
      <c r="FN4" s="27"/>
      <c r="FO4" s="27"/>
      <c r="FP4" s="27"/>
      <c r="FQ4" s="27"/>
      <c r="FR4" s="27"/>
      <c r="FS4" s="27"/>
      <c r="FT4" s="27"/>
      <c r="FU4" s="27"/>
      <c r="FV4" s="27"/>
      <c r="FW4" s="27"/>
      <c r="FX4" s="27"/>
      <c r="FY4" s="27"/>
      <c r="FZ4" s="27"/>
      <c r="GA4" s="27"/>
      <c r="GB4" s="27"/>
      <c r="GC4" s="27"/>
      <c r="GD4" s="27"/>
      <c r="GE4" s="27"/>
      <c r="GF4" s="27"/>
      <c r="GG4" s="27"/>
      <c r="GH4" s="27"/>
      <c r="GI4" s="27"/>
      <c r="GJ4" s="27"/>
      <c r="GK4" s="27"/>
      <c r="GL4" s="27"/>
      <c r="GM4" s="27"/>
      <c r="GN4" s="27"/>
      <c r="GO4" s="27"/>
      <c r="GP4" s="27"/>
      <c r="GQ4" s="27"/>
      <c r="GR4" s="27"/>
      <c r="GS4" s="27"/>
      <c r="GT4" s="27"/>
      <c r="GU4" s="27"/>
      <c r="GV4" s="27"/>
      <c r="GW4" s="27"/>
      <c r="GX4" s="27"/>
      <c r="GY4" s="27"/>
      <c r="GZ4" s="27"/>
      <c r="HA4" s="27"/>
      <c r="HB4" s="27"/>
      <c r="HC4" s="27"/>
      <c r="HD4" s="27"/>
      <c r="HE4" s="27"/>
      <c r="HF4" s="27"/>
      <c r="HG4" s="27"/>
      <c r="HH4" s="27"/>
      <c r="HI4" s="27"/>
      <c r="HJ4" s="27"/>
      <c r="HK4" s="27"/>
      <c r="HL4" s="27"/>
      <c r="HM4" s="27"/>
      <c r="HN4" s="27"/>
      <c r="HO4" s="27"/>
      <c r="HP4" s="27"/>
      <c r="HQ4" s="27"/>
      <c r="HR4" s="27"/>
      <c r="HS4" s="27"/>
      <c r="HT4" s="27"/>
      <c r="HU4" s="27"/>
      <c r="HV4" s="27"/>
      <c r="HW4" s="27"/>
      <c r="HX4" s="27"/>
      <c r="HY4" s="27"/>
      <c r="HZ4" s="27"/>
      <c r="IA4" s="27"/>
      <c r="IB4" s="27"/>
      <c r="IC4" s="27"/>
      <c r="ID4" s="27"/>
      <c r="IE4" s="27"/>
      <c r="IF4" s="27"/>
      <c r="IG4" s="27"/>
      <c r="IH4" s="27"/>
      <c r="II4" s="27"/>
      <c r="IJ4" s="27"/>
      <c r="IK4" s="27"/>
      <c r="IL4" s="27"/>
      <c r="IM4" s="27"/>
      <c r="IN4" s="27"/>
      <c r="IO4" s="27"/>
      <c r="IP4" s="27"/>
      <c r="IQ4" s="27"/>
      <c r="IR4" s="27"/>
      <c r="IS4" s="27"/>
      <c r="IT4" s="27"/>
      <c r="IU4" s="27"/>
      <c r="IV4" s="27"/>
      <c r="IW4" s="27"/>
    </row>
    <row r="5" spans="1:257" ht="15.75" customHeight="1" x14ac:dyDescent="0.3"/>
    <row r="6" spans="1:257" ht="15.75" customHeight="1" x14ac:dyDescent="0.3">
      <c r="A6" s="72" t="s">
        <v>158</v>
      </c>
      <c r="B6" s="72"/>
      <c r="C6" s="72"/>
      <c r="D6" s="72"/>
      <c r="E6" s="72"/>
      <c r="F6" s="72"/>
      <c r="G6" s="72"/>
      <c r="H6" s="72"/>
      <c r="I6" s="72"/>
      <c r="J6" s="72"/>
      <c r="K6" s="72"/>
    </row>
    <row r="7" spans="1:257" ht="15.75" customHeight="1" x14ac:dyDescent="0.3">
      <c r="A7" s="72" t="s">
        <v>159</v>
      </c>
      <c r="B7" s="72"/>
      <c r="C7" s="72"/>
      <c r="D7" s="72"/>
      <c r="E7" s="72"/>
      <c r="F7" s="72"/>
      <c r="G7" s="72"/>
      <c r="H7" s="72"/>
      <c r="I7" s="72"/>
      <c r="J7" s="72"/>
      <c r="K7" s="72"/>
    </row>
    <row r="8" spans="1:257" ht="15.75" customHeight="1" x14ac:dyDescent="0.3">
      <c r="A8" s="27" t="s">
        <v>160</v>
      </c>
      <c r="B8" s="27"/>
      <c r="C8" s="29" t="str">
        <f>'02 Acts - Data'!B6</f>
        <v>ГНБ № 10-1С</v>
      </c>
      <c r="D8" s="27"/>
      <c r="E8" s="27"/>
      <c r="G8" s="27"/>
      <c r="H8" s="27"/>
      <c r="I8" s="27"/>
      <c r="J8" s="27"/>
      <c r="K8" s="27"/>
      <c r="P8" s="27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spans="1:257" ht="15.75" customHeight="1" x14ac:dyDescent="0.3">
      <c r="A9" s="7" t="s">
        <v>161</v>
      </c>
      <c r="B9" s="60"/>
      <c r="C9" s="29" t="str">
        <f>'02 Acts - Data'!B5</f>
        <v>По адресу: г. Москва, ул. Кантемировская, д.60</v>
      </c>
      <c r="D9" s="60"/>
      <c r="E9" s="60"/>
      <c r="F9" s="60"/>
      <c r="G9" s="60"/>
      <c r="H9" s="60"/>
      <c r="I9" s="60"/>
      <c r="J9" s="60"/>
      <c r="K9" s="60"/>
    </row>
    <row r="10" spans="1:257" ht="15.75" customHeight="1" x14ac:dyDescent="0.3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</row>
    <row r="11" spans="1:257" ht="15.75" customHeight="1" x14ac:dyDescent="0.3">
      <c r="A11" s="105" t="str">
        <f>'02 Acts - Data'!A31</f>
        <v>ГНБ № 10-1С</v>
      </c>
      <c r="B11" s="105"/>
      <c r="C11" s="105"/>
      <c r="D11" s="105"/>
      <c r="E11" s="105"/>
      <c r="F11" s="105"/>
      <c r="G11" s="105"/>
      <c r="H11" s="105"/>
      <c r="I11" s="105"/>
      <c r="J11" s="105"/>
      <c r="K11" s="105"/>
    </row>
    <row r="12" spans="1:257" ht="15.75" customHeight="1" x14ac:dyDescent="0.3">
      <c r="A12" s="62" t="s">
        <v>162</v>
      </c>
      <c r="B12" s="106" t="s">
        <v>163</v>
      </c>
      <c r="C12" s="106"/>
      <c r="D12" s="106"/>
      <c r="E12" s="106"/>
      <c r="F12" s="106"/>
      <c r="G12" s="106"/>
      <c r="H12" s="106"/>
      <c r="I12" s="106"/>
      <c r="J12" s="61" t="s">
        <v>164</v>
      </c>
      <c r="K12" s="61" t="s">
        <v>165</v>
      </c>
    </row>
    <row r="13" spans="1:257" ht="29.25" customHeight="1" x14ac:dyDescent="0.3">
      <c r="A13" s="63">
        <v>1</v>
      </c>
      <c r="B13" s="64" t="s">
        <v>166</v>
      </c>
      <c r="C13" s="107" t="str">
        <f>'02 Acts - Data'!B26</f>
        <v>Труба "ПЭ тип "С" 110*6,3 техническая (L012) (паспорт  качества от 23.08.2021г.)</v>
      </c>
      <c r="D13" s="107"/>
      <c r="E13" s="107"/>
      <c r="F13" s="107"/>
      <c r="G13" s="107"/>
      <c r="H13" s="107"/>
      <c r="I13" s="107"/>
      <c r="J13" s="65" t="s">
        <v>167</v>
      </c>
      <c r="K13" s="66">
        <f>'02 Acts - Data'!E31</f>
        <v>85.92</v>
      </c>
    </row>
    <row r="14" spans="1:257" ht="15.75" customHeight="1" x14ac:dyDescent="0.3">
      <c r="A14" s="67">
        <v>2</v>
      </c>
      <c r="B14" s="108" t="s">
        <v>168</v>
      </c>
      <c r="C14" s="108"/>
      <c r="D14" s="108"/>
      <c r="E14" s="108"/>
      <c r="F14" s="108"/>
      <c r="G14" s="108"/>
      <c r="H14" s="108"/>
      <c r="I14" s="108"/>
      <c r="J14" s="68" t="s">
        <v>167</v>
      </c>
      <c r="K14" s="66">
        <f>K13</f>
        <v>85.92</v>
      </c>
    </row>
    <row r="15" spans="1:257" ht="13.5" customHeight="1" x14ac:dyDescent="0.3">
      <c r="A15" s="63">
        <v>3</v>
      </c>
      <c r="B15" s="69" t="s">
        <v>169</v>
      </c>
      <c r="C15" s="107" t="str">
        <f>'02 Acts - Data'!B27</f>
        <v xml:space="preserve"> d=110 мм.</v>
      </c>
      <c r="D15" s="107"/>
      <c r="E15" s="107"/>
      <c r="F15" s="107"/>
      <c r="G15" s="107"/>
      <c r="H15" s="107"/>
      <c r="I15" s="107"/>
      <c r="J15" s="65" t="s">
        <v>170</v>
      </c>
      <c r="K15" s="70">
        <f>'02 Acts - Data'!D31*2</f>
        <v>4</v>
      </c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</row>
    <row r="16" spans="1:257" ht="15.75" customHeight="1" x14ac:dyDescent="0.3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</row>
    <row r="17" spans="1:25" ht="15.75" customHeight="1" x14ac:dyDescent="0.3">
      <c r="P17" s="73"/>
      <c r="Q17" s="73"/>
      <c r="R17" s="73"/>
      <c r="S17" s="73"/>
      <c r="T17" s="73"/>
      <c r="U17" s="73"/>
      <c r="V17" s="73"/>
      <c r="W17" s="73"/>
      <c r="X17" s="73"/>
      <c r="Y17" s="73"/>
    </row>
    <row r="18" spans="1:25" ht="15.75" customHeight="1" x14ac:dyDescent="0.3">
      <c r="A18" s="27"/>
      <c r="B18" s="27"/>
    </row>
    <row r="19" spans="1:25" ht="15.75" customHeight="1" x14ac:dyDescent="0.3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</row>
    <row r="20" spans="1:25" ht="15.75" customHeight="1" x14ac:dyDescent="0.3">
      <c r="A20" s="27" t="str">
        <f>'02 Acts - Data'!C23</f>
        <v xml:space="preserve"> 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</row>
    <row r="21" spans="1:25" ht="15.75" customHeight="1" x14ac:dyDescent="0.3">
      <c r="A21" s="27"/>
      <c r="B21" s="27"/>
    </row>
    <row r="22" spans="1:25" ht="15.75" customHeight="1" x14ac:dyDescent="0.3">
      <c r="A22" s="27" t="str">
        <f>'02 Acts - Data'!C21</f>
        <v>Начальник участка ООО «Резонанс-Энерго» ______________________Борков Е.А</v>
      </c>
      <c r="B22" s="27" t="str">
        <f>CONCATENATE("Строительство ",'02 Acts - Data'!B6," методом ГНБ")</f>
        <v>Строительство ГНБ № 10-1С методом ГНБ</v>
      </c>
      <c r="C22" s="27"/>
      <c r="D22" s="27"/>
      <c r="E22" s="27"/>
      <c r="F22" s="27"/>
      <c r="G22" s="27"/>
      <c r="H22" s="27"/>
      <c r="I22" s="27"/>
      <c r="J22" s="27"/>
      <c r="K22" s="27"/>
    </row>
    <row r="23" spans="1:25" ht="15.75" customHeight="1" x14ac:dyDescent="0.3">
      <c r="A23" s="27"/>
    </row>
    <row r="24" spans="1:25" ht="15.75" customHeight="1" x14ac:dyDescent="0.3">
      <c r="A24" s="27" t="str">
        <f>'02 Acts - Data'!C20</f>
        <v>Представитель Южного РЭС АО "ОЭК" ____________________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</row>
    <row r="25" spans="1:25" ht="15.75" customHeight="1" x14ac:dyDescent="0.3"/>
    <row r="26" spans="1:25" ht="15.75" customHeight="1" x14ac:dyDescent="0.3">
      <c r="B26" s="27"/>
      <c r="C26" s="27"/>
      <c r="D26" s="27"/>
      <c r="E26" s="27"/>
      <c r="F26" s="27"/>
      <c r="G26" s="27"/>
      <c r="H26" s="27"/>
      <c r="I26" s="27"/>
      <c r="J26" s="27"/>
      <c r="K26" s="27"/>
    </row>
    <row r="27" spans="1:25" ht="15.75" customHeight="1" x14ac:dyDescent="0.3">
      <c r="A27" s="27"/>
      <c r="B27" s="27"/>
      <c r="C27" s="27"/>
      <c r="D27" s="27"/>
    </row>
    <row r="28" spans="1:25" ht="15.75" customHeight="1" x14ac:dyDescent="0.3">
      <c r="B28" s="27"/>
      <c r="C28" s="27"/>
      <c r="D28" s="27"/>
      <c r="E28" s="27"/>
      <c r="F28" s="27"/>
      <c r="G28" s="27"/>
      <c r="H28" s="27"/>
      <c r="I28" s="27"/>
      <c r="J28" s="27"/>
      <c r="K28" s="27"/>
    </row>
    <row r="29" spans="1:25" ht="15.75" customHeight="1" x14ac:dyDescent="0.3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</row>
    <row r="30" spans="1:25" ht="15.75" customHeight="1" x14ac:dyDescent="0.3"/>
    <row r="31" spans="1:25" ht="15.75" customHeight="1" x14ac:dyDescent="0.3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</row>
    <row r="32" spans="1:25" ht="15.75" customHeight="1" x14ac:dyDescent="0.3"/>
    <row r="33" spans="1:11" ht="15.75" customHeight="1" x14ac:dyDescent="0.3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</row>
    <row r="34" spans="1:11" ht="15.75" customHeight="1" x14ac:dyDescent="0.3"/>
    <row r="35" spans="1:11" ht="15.75" customHeight="1" x14ac:dyDescent="0.3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 spans="1:11" ht="15.75" customHeight="1" x14ac:dyDescent="0.3"/>
    <row r="37" spans="1:11" ht="15.75" customHeight="1" x14ac:dyDescent="0.3"/>
    <row r="38" spans="1:11" ht="15.75" customHeight="1" x14ac:dyDescent="0.3"/>
    <row r="39" spans="1:11" ht="15.75" customHeight="1" x14ac:dyDescent="0.3"/>
    <row r="40" spans="1:11" ht="15.75" customHeight="1" x14ac:dyDescent="0.3"/>
    <row r="41" spans="1:11" ht="15.75" customHeight="1" x14ac:dyDescent="0.3"/>
    <row r="42" spans="1:11" ht="15.75" customHeight="1" x14ac:dyDescent="0.3"/>
    <row r="43" spans="1:11" ht="15.75" customHeight="1" x14ac:dyDescent="0.3"/>
    <row r="44" spans="1:11" ht="15.75" customHeight="1" x14ac:dyDescent="0.3"/>
    <row r="45" spans="1:11" ht="15.75" customHeight="1" x14ac:dyDescent="0.3"/>
    <row r="46" spans="1:11" ht="15.75" customHeight="1" x14ac:dyDescent="0.3"/>
    <row r="47" spans="1:11" ht="15.75" customHeight="1" x14ac:dyDescent="0.3"/>
    <row r="48" spans="1:11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</sheetData>
  <mergeCells count="12">
    <mergeCell ref="C3:I3"/>
    <mergeCell ref="C4:E4"/>
    <mergeCell ref="G4:I4"/>
    <mergeCell ref="A6:K6"/>
    <mergeCell ref="A7:K7"/>
    <mergeCell ref="P15:Z15"/>
    <mergeCell ref="P17:Y17"/>
    <mergeCell ref="A11:K11"/>
    <mergeCell ref="B12:I12"/>
    <mergeCell ref="C13:I13"/>
    <mergeCell ref="B14:I14"/>
    <mergeCell ref="C15:I15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52570-0E2B-4D78-A5FD-0DCC6D37196F}">
  <sheetPr>
    <tabColor rgb="FF339966"/>
  </sheetPr>
  <dimension ref="A2:E8"/>
  <sheetViews>
    <sheetView zoomScaleNormal="100" workbookViewId="0"/>
  </sheetViews>
  <sheetFormatPr defaultColWidth="9" defaultRowHeight="12.75" customHeight="1" x14ac:dyDescent="0.25"/>
  <cols>
    <col min="1" max="1" width="15.6640625" style="114" customWidth="1"/>
    <col min="2" max="2" width="37.6640625" style="114" customWidth="1"/>
    <col min="3" max="16384" width="9" style="114"/>
  </cols>
  <sheetData>
    <row r="2" spans="1:5" ht="18" customHeight="1" x14ac:dyDescent="0.25">
      <c r="A2" s="114" t="s">
        <v>173</v>
      </c>
      <c r="B2" s="115"/>
      <c r="C2" s="116"/>
      <c r="D2" s="116"/>
      <c r="E2" s="116"/>
    </row>
    <row r="3" spans="1:5" ht="18" customHeight="1" x14ac:dyDescent="0.25">
      <c r="A3" s="114" t="s">
        <v>174</v>
      </c>
      <c r="B3" s="117"/>
      <c r="C3" s="116"/>
      <c r="D3" s="116"/>
      <c r="E3" s="116"/>
    </row>
    <row r="4" spans="1:5" ht="18" customHeight="1" x14ac:dyDescent="0.25">
      <c r="A4" s="114" t="s">
        <v>175</v>
      </c>
      <c r="B4" s="117">
        <f>C3*B3</f>
        <v>0</v>
      </c>
      <c r="C4" s="116"/>
      <c r="D4" s="116"/>
      <c r="E4" s="116"/>
    </row>
    <row r="5" spans="1:5" ht="18" customHeight="1" x14ac:dyDescent="0.25">
      <c r="A5" s="114" t="s">
        <v>6</v>
      </c>
      <c r="B5" s="118"/>
      <c r="C5" s="116"/>
      <c r="D5" s="116"/>
      <c r="E5" s="116"/>
    </row>
    <row r="6" spans="1:5" ht="18" customHeight="1" x14ac:dyDescent="0.25">
      <c r="A6" s="114" t="s">
        <v>176</v>
      </c>
      <c r="B6" s="116" t="str">
        <f>CONCATENATE(C6," ",D6," ",E6)</f>
        <v xml:space="preserve">  </v>
      </c>
      <c r="C6" s="116"/>
      <c r="D6" s="116"/>
      <c r="E6" s="116"/>
    </row>
    <row r="7" spans="1:5" ht="18" customHeight="1" x14ac:dyDescent="0.25">
      <c r="A7" s="114" t="s">
        <v>177</v>
      </c>
      <c r="B7" s="116" t="str">
        <f>CONCATENATE(C7," ",D7," ",E7)</f>
        <v xml:space="preserve">  </v>
      </c>
      <c r="C7" s="116"/>
      <c r="D7" s="116"/>
      <c r="E7" s="116"/>
    </row>
    <row r="8" spans="1:5" ht="18" customHeight="1" x14ac:dyDescent="0.25">
      <c r="A8" s="114" t="s">
        <v>178</v>
      </c>
      <c r="B8" s="116" t="str">
        <f>CONCATENATE(C8," ",D8," ",E8)</f>
        <v xml:space="preserve">  </v>
      </c>
      <c r="C8" s="116"/>
      <c r="D8" s="116"/>
      <c r="E8" s="116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FA693-0FB3-4213-B01E-8238DE9961AB}">
  <sheetPr>
    <tabColor rgb="FF339966"/>
  </sheetPr>
  <dimension ref="A1:IW89"/>
  <sheetViews>
    <sheetView topLeftCell="A22" zoomScale="125" zoomScaleNormal="125" zoomScalePageLayoutView="130" workbookViewId="0"/>
  </sheetViews>
  <sheetFormatPr defaultColWidth="10.6640625" defaultRowHeight="15" customHeight="1" x14ac:dyDescent="0.25"/>
  <cols>
    <col min="1" max="31" width="2.77734375" style="118" customWidth="1"/>
    <col min="32" max="32" width="3" style="118" customWidth="1"/>
    <col min="33" max="51" width="2.77734375" style="118" customWidth="1"/>
    <col min="52" max="257" width="10.6640625" style="118"/>
    <col min="258" max="16384" width="10.6640625" style="114"/>
  </cols>
  <sheetData>
    <row r="1" spans="1:43" ht="12.75" customHeight="1" x14ac:dyDescent="0.25">
      <c r="AJ1" s="119" t="s">
        <v>179</v>
      </c>
    </row>
    <row r="2" spans="1:43" ht="11.25" customHeight="1" x14ac:dyDescent="0.25">
      <c r="AJ2" s="119" t="s">
        <v>180</v>
      </c>
    </row>
    <row r="3" spans="1:43" ht="12" customHeight="1" x14ac:dyDescent="0.25">
      <c r="A3" s="114" t="s">
        <v>181</v>
      </c>
      <c r="AJ3" s="120"/>
      <c r="AK3" s="120"/>
      <c r="AL3" s="120"/>
      <c r="AM3" s="120"/>
      <c r="AN3" s="120"/>
      <c r="AO3" s="120"/>
      <c r="AP3" s="120"/>
      <c r="AQ3" s="120"/>
    </row>
    <row r="4" spans="1:43" ht="29.25" customHeight="1" x14ac:dyDescent="0.25">
      <c r="A4" s="121"/>
      <c r="B4" s="121"/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21"/>
      <c r="AA4" s="121"/>
      <c r="AB4" s="121"/>
      <c r="AC4" s="121"/>
      <c r="AD4" s="121"/>
      <c r="AE4" s="121"/>
      <c r="AF4" s="121"/>
      <c r="AG4" s="121"/>
      <c r="AH4" s="121"/>
      <c r="AI4" s="121"/>
      <c r="AJ4" s="121"/>
    </row>
    <row r="5" spans="1:43" ht="10.5" customHeight="1" x14ac:dyDescent="0.25">
      <c r="A5" s="122" t="s">
        <v>182</v>
      </c>
      <c r="B5" s="122"/>
      <c r="C5" s="122"/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  <c r="AA5" s="122"/>
      <c r="AB5" s="122"/>
      <c r="AC5" s="122"/>
      <c r="AD5" s="122"/>
      <c r="AE5" s="122"/>
      <c r="AF5" s="122"/>
      <c r="AG5" s="122"/>
      <c r="AH5" s="122"/>
      <c r="AI5" s="122"/>
      <c r="AJ5" s="122"/>
    </row>
    <row r="6" spans="1:43" ht="23.25" customHeight="1" x14ac:dyDescent="0.25">
      <c r="A6" s="123" t="s">
        <v>183</v>
      </c>
      <c r="B6" s="123"/>
      <c r="C6" s="123"/>
      <c r="D6" s="123"/>
      <c r="E6" s="123"/>
      <c r="F6" s="123"/>
      <c r="G6" s="123"/>
      <c r="H6" s="123"/>
      <c r="I6" s="123"/>
      <c r="J6" s="123"/>
      <c r="K6" s="123"/>
      <c r="L6" s="123"/>
      <c r="M6" s="123"/>
      <c r="N6" s="123"/>
      <c r="O6" s="123"/>
      <c r="P6" s="123"/>
      <c r="Q6" s="123"/>
      <c r="R6" s="123"/>
      <c r="S6" s="123"/>
      <c r="T6" s="123"/>
      <c r="U6" s="123"/>
      <c r="V6" s="123"/>
      <c r="W6" s="123"/>
      <c r="X6" s="123"/>
      <c r="Y6" s="123"/>
      <c r="Z6" s="123"/>
      <c r="AA6" s="123"/>
      <c r="AB6" s="123"/>
      <c r="AC6" s="123"/>
      <c r="AD6" s="123"/>
      <c r="AE6" s="123"/>
      <c r="AF6" s="123"/>
      <c r="AG6" s="123"/>
      <c r="AH6" s="123"/>
      <c r="AI6" s="123"/>
      <c r="AJ6" s="123"/>
    </row>
    <row r="7" spans="1:43" ht="40.5" customHeight="1" x14ac:dyDescent="0.25">
      <c r="A7" s="121"/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</row>
    <row r="8" spans="1:43" ht="40.5" customHeight="1" x14ac:dyDescent="0.25">
      <c r="A8" s="122" t="s">
        <v>184</v>
      </c>
      <c r="B8" s="122"/>
      <c r="C8" s="122"/>
      <c r="D8" s="122"/>
      <c r="E8" s="122"/>
      <c r="F8" s="122"/>
      <c r="G8" s="122"/>
      <c r="H8" s="122"/>
      <c r="I8" s="122"/>
      <c r="J8" s="122"/>
      <c r="K8" s="122"/>
      <c r="L8" s="122"/>
      <c r="M8" s="122"/>
      <c r="N8" s="122"/>
      <c r="O8" s="122"/>
      <c r="P8" s="122"/>
      <c r="Q8" s="122"/>
      <c r="R8" s="122"/>
      <c r="S8" s="122"/>
      <c r="T8" s="122"/>
      <c r="U8" s="122"/>
      <c r="V8" s="122"/>
      <c r="W8" s="122"/>
      <c r="X8" s="122"/>
      <c r="Y8" s="122"/>
      <c r="Z8" s="122"/>
      <c r="AA8" s="122"/>
      <c r="AB8" s="122"/>
      <c r="AC8" s="122"/>
      <c r="AD8" s="122"/>
      <c r="AE8" s="122"/>
      <c r="AF8" s="122"/>
      <c r="AG8" s="122"/>
      <c r="AH8" s="122"/>
      <c r="AI8" s="122"/>
      <c r="AJ8" s="122"/>
    </row>
    <row r="9" spans="1:43" ht="12" customHeight="1" x14ac:dyDescent="0.25">
      <c r="A9" s="114" t="s">
        <v>185</v>
      </c>
    </row>
    <row r="10" spans="1:43" ht="51.75" customHeight="1" x14ac:dyDescent="0.25">
      <c r="A10" s="121"/>
      <c r="B10" s="121"/>
      <c r="C10" s="121"/>
      <c r="D10" s="121"/>
      <c r="E10" s="121"/>
      <c r="F10" s="121"/>
      <c r="G10" s="121"/>
      <c r="H10" s="121"/>
      <c r="I10" s="121"/>
      <c r="J10" s="121"/>
      <c r="K10" s="121"/>
      <c r="L10" s="121"/>
      <c r="M10" s="121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</row>
    <row r="11" spans="1:43" ht="42" customHeight="1" x14ac:dyDescent="0.25">
      <c r="A11" s="122" t="s">
        <v>186</v>
      </c>
      <c r="B11" s="122"/>
      <c r="C11" s="122"/>
      <c r="D11" s="122"/>
      <c r="E11" s="122"/>
      <c r="F11" s="122"/>
      <c r="G11" s="122"/>
      <c r="H11" s="122"/>
      <c r="I11" s="122"/>
      <c r="J11" s="122"/>
      <c r="K11" s="122"/>
      <c r="L11" s="122"/>
      <c r="M11" s="122"/>
      <c r="N11" s="122"/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  <c r="AA11" s="122"/>
      <c r="AB11" s="122"/>
      <c r="AC11" s="122"/>
      <c r="AD11" s="122"/>
      <c r="AE11" s="122"/>
      <c r="AF11" s="122"/>
      <c r="AG11" s="122"/>
      <c r="AH11" s="122"/>
      <c r="AI11" s="122"/>
      <c r="AJ11" s="122"/>
    </row>
    <row r="12" spans="1:43" ht="15.75" customHeight="1" x14ac:dyDescent="0.25">
      <c r="A12" s="114" t="s">
        <v>187</v>
      </c>
    </row>
    <row r="13" spans="1:43" ht="43.5" customHeight="1" x14ac:dyDescent="0.25">
      <c r="A13" s="121"/>
      <c r="B13" s="121"/>
      <c r="C13" s="121"/>
      <c r="D13" s="121"/>
      <c r="E13" s="121"/>
      <c r="F13" s="121"/>
      <c r="G13" s="121"/>
      <c r="H13" s="121"/>
      <c r="I13" s="121"/>
      <c r="J13" s="121"/>
      <c r="K13" s="121"/>
      <c r="L13" s="121"/>
      <c r="M13" s="121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</row>
    <row r="14" spans="1:43" ht="27.75" customHeight="1" x14ac:dyDescent="0.25">
      <c r="A14" s="122" t="s">
        <v>188</v>
      </c>
      <c r="B14" s="122"/>
      <c r="C14" s="122"/>
      <c r="D14" s="122"/>
      <c r="E14" s="122"/>
      <c r="F14" s="122"/>
      <c r="G14" s="122"/>
      <c r="H14" s="122"/>
      <c r="I14" s="122"/>
      <c r="J14" s="122"/>
      <c r="K14" s="122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  <c r="AC14" s="122"/>
      <c r="AD14" s="122"/>
      <c r="AE14" s="122"/>
      <c r="AF14" s="122"/>
      <c r="AG14" s="122"/>
      <c r="AH14" s="122"/>
      <c r="AI14" s="122"/>
      <c r="AJ14" s="122"/>
    </row>
    <row r="15" spans="1:43" ht="10.5" customHeight="1" x14ac:dyDescent="0.25">
      <c r="A15" s="124" t="s">
        <v>61</v>
      </c>
      <c r="B15" s="124"/>
      <c r="C15" s="124"/>
      <c r="D15" s="124"/>
      <c r="E15" s="124"/>
      <c r="F15" s="124"/>
      <c r="G15" s="124"/>
      <c r="H15" s="124"/>
      <c r="I15" s="124"/>
      <c r="J15" s="124"/>
      <c r="K15" s="124"/>
      <c r="L15" s="124"/>
      <c r="M15" s="124"/>
      <c r="N15" s="124"/>
      <c r="O15" s="124"/>
      <c r="P15" s="124"/>
      <c r="Q15" s="124"/>
      <c r="R15" s="124"/>
      <c r="S15" s="124"/>
      <c r="T15" s="124"/>
      <c r="U15" s="124"/>
      <c r="V15" s="124"/>
      <c r="W15" s="124"/>
      <c r="X15" s="124"/>
      <c r="Y15" s="124"/>
      <c r="Z15" s="124"/>
      <c r="AA15" s="124"/>
      <c r="AB15" s="124"/>
      <c r="AC15" s="124"/>
      <c r="AD15" s="124"/>
      <c r="AE15" s="124"/>
      <c r="AF15" s="124"/>
      <c r="AG15" s="124"/>
      <c r="AH15" s="124"/>
      <c r="AI15" s="124"/>
      <c r="AJ15" s="124"/>
    </row>
    <row r="16" spans="1:43" ht="12.75" customHeight="1" x14ac:dyDescent="0.25">
      <c r="A16" s="125" t="s">
        <v>189</v>
      </c>
      <c r="B16" s="125"/>
      <c r="C16" s="125"/>
      <c r="D16" s="125"/>
      <c r="E16" s="125"/>
      <c r="F16" s="125"/>
      <c r="G16" s="125"/>
      <c r="H16" s="125"/>
      <c r="I16" s="125"/>
      <c r="J16" s="125"/>
      <c r="K16" s="125"/>
      <c r="L16" s="125"/>
      <c r="M16" s="125"/>
      <c r="N16" s="125"/>
      <c r="O16" s="125"/>
      <c r="P16" s="125"/>
      <c r="Q16" s="125"/>
      <c r="R16" s="125"/>
      <c r="S16" s="125"/>
      <c r="T16" s="125"/>
      <c r="U16" s="125"/>
      <c r="V16" s="125"/>
      <c r="W16" s="125"/>
      <c r="X16" s="125"/>
      <c r="Y16" s="125"/>
      <c r="Z16" s="125"/>
      <c r="AA16" s="125"/>
      <c r="AB16" s="125"/>
      <c r="AC16" s="125"/>
      <c r="AD16" s="125"/>
      <c r="AE16" s="125"/>
      <c r="AF16" s="125"/>
      <c r="AG16" s="125"/>
      <c r="AH16" s="125"/>
      <c r="AI16" s="125"/>
      <c r="AJ16" s="125"/>
    </row>
    <row r="17" spans="1:257" ht="3.75" customHeight="1" x14ac:dyDescent="0.3">
      <c r="A17" s="126"/>
      <c r="B17" s="126"/>
      <c r="C17" s="126"/>
      <c r="D17" s="126"/>
      <c r="E17" s="126"/>
      <c r="F17" s="126"/>
      <c r="G17" s="126"/>
      <c r="H17" s="126"/>
      <c r="I17" s="126"/>
      <c r="J17" s="126"/>
    </row>
    <row r="18" spans="1:257" ht="12.75" customHeight="1" x14ac:dyDescent="0.3">
      <c r="A18" s="127"/>
      <c r="B18" s="127" t="s">
        <v>190</v>
      </c>
      <c r="C18" s="128" t="str">
        <f>CONCATENATE("1 (ЗП ГНБ №",[1]Лист1!B2,")")</f>
        <v>1 (ЗП ГНБ №)</v>
      </c>
      <c r="D18" s="128"/>
      <c r="E18" s="128"/>
      <c r="F18" s="128"/>
      <c r="G18" s="128"/>
      <c r="H18" s="128"/>
      <c r="I18" s="128"/>
      <c r="J18" s="128"/>
      <c r="K18" s="128"/>
      <c r="L18" s="114"/>
      <c r="M18" s="114"/>
      <c r="N18" s="114"/>
      <c r="O18" s="114"/>
      <c r="P18" s="114"/>
      <c r="Q18" s="114"/>
      <c r="R18" s="114"/>
      <c r="S18" s="114"/>
      <c r="T18" s="114"/>
      <c r="U18" s="114"/>
      <c r="V18" s="114"/>
      <c r="W18" s="114"/>
      <c r="X18" s="129" t="s">
        <v>191</v>
      </c>
      <c r="Y18" s="130">
        <f>[1]Лист1!C6</f>
        <v>0</v>
      </c>
      <c r="Z18" s="130"/>
      <c r="AA18" s="114" t="s">
        <v>191</v>
      </c>
      <c r="AB18" s="130">
        <f>[1]Лист1!D6</f>
        <v>0</v>
      </c>
      <c r="AC18" s="130"/>
      <c r="AD18" s="130"/>
      <c r="AE18" s="130"/>
      <c r="AF18" s="114"/>
      <c r="AG18" s="130">
        <f>[1]Лист1!E6</f>
        <v>0</v>
      </c>
      <c r="AH18" s="130"/>
      <c r="AI18" s="130"/>
      <c r="AJ18" s="114" t="s">
        <v>192</v>
      </c>
    </row>
    <row r="19" spans="1:257" ht="9.75" customHeight="1" x14ac:dyDescent="0.25">
      <c r="Y19" s="131"/>
      <c r="Z19" s="132" t="s">
        <v>193</v>
      </c>
      <c r="AA19" s="131"/>
      <c r="AB19" s="131"/>
      <c r="AC19" s="131"/>
      <c r="AD19" s="131"/>
      <c r="AE19" s="131"/>
      <c r="AF19" s="131"/>
      <c r="AG19" s="131"/>
      <c r="AH19" s="131"/>
    </row>
    <row r="20" spans="1:257" ht="3" customHeight="1" x14ac:dyDescent="0.25">
      <c r="Y20" s="131"/>
      <c r="Z20" s="131"/>
      <c r="AA20" s="131"/>
      <c r="AB20" s="131"/>
      <c r="AC20" s="131"/>
      <c r="AD20" s="131"/>
      <c r="AE20" s="131"/>
      <c r="AF20" s="131"/>
      <c r="AG20" s="131"/>
      <c r="AH20" s="131"/>
    </row>
    <row r="21" spans="1:257" ht="24.75" customHeight="1" x14ac:dyDescent="0.25">
      <c r="A21" s="123" t="s">
        <v>194</v>
      </c>
      <c r="B21" s="123"/>
      <c r="C21" s="123"/>
      <c r="D21" s="123"/>
      <c r="E21" s="123"/>
      <c r="F21" s="123"/>
      <c r="G21" s="123"/>
      <c r="H21" s="123"/>
      <c r="I21" s="123"/>
      <c r="J21" s="123"/>
      <c r="K21" s="123"/>
      <c r="L21" s="123"/>
      <c r="M21" s="123"/>
      <c r="N21" s="123"/>
      <c r="O21" s="123"/>
      <c r="P21" s="123"/>
      <c r="Q21" s="123"/>
      <c r="R21" s="123"/>
      <c r="S21" s="123"/>
      <c r="T21" s="123"/>
      <c r="U21" s="123"/>
      <c r="V21" s="123"/>
      <c r="W21" s="123"/>
      <c r="X21" s="123"/>
      <c r="Y21" s="123"/>
      <c r="Z21" s="123"/>
      <c r="AA21" s="123"/>
      <c r="AB21" s="123"/>
      <c r="AC21" s="123"/>
      <c r="AD21" s="123"/>
      <c r="AE21" s="123"/>
      <c r="AF21" s="123"/>
      <c r="AG21" s="123"/>
      <c r="AH21" s="123"/>
      <c r="AI21" s="123"/>
      <c r="AJ21" s="123"/>
    </row>
    <row r="22" spans="1:257" ht="27" customHeight="1" x14ac:dyDescent="0.25">
      <c r="A22" s="133"/>
      <c r="B22" s="133"/>
      <c r="C22" s="133"/>
      <c r="D22" s="133"/>
      <c r="E22" s="133"/>
      <c r="F22" s="133"/>
      <c r="G22" s="133"/>
      <c r="H22" s="133"/>
      <c r="I22" s="133"/>
      <c r="J22" s="133"/>
      <c r="K22" s="133"/>
      <c r="L22" s="133"/>
      <c r="M22" s="133"/>
      <c r="N22" s="133"/>
      <c r="O22" s="133"/>
      <c r="P22" s="133"/>
      <c r="Q22" s="133"/>
      <c r="R22" s="133"/>
      <c r="S22" s="133"/>
      <c r="T22" s="133"/>
      <c r="U22" s="133"/>
      <c r="V22" s="133"/>
      <c r="W22" s="133"/>
      <c r="X22" s="133"/>
      <c r="Y22" s="133"/>
      <c r="Z22" s="133"/>
      <c r="AA22" s="133"/>
      <c r="AB22" s="133"/>
      <c r="AC22" s="133"/>
      <c r="AD22" s="133"/>
      <c r="AE22" s="133"/>
      <c r="AF22" s="133"/>
      <c r="AG22" s="133"/>
      <c r="AH22" s="133"/>
      <c r="AI22" s="133"/>
      <c r="AJ22" s="133"/>
    </row>
    <row r="23" spans="1:257" ht="23.25" customHeight="1" x14ac:dyDescent="0.25">
      <c r="A23" s="134" t="s">
        <v>195</v>
      </c>
      <c r="B23" s="134"/>
      <c r="C23" s="134"/>
      <c r="D23" s="134"/>
      <c r="E23" s="134"/>
      <c r="F23" s="134"/>
      <c r="G23" s="134"/>
      <c r="H23" s="134"/>
      <c r="I23" s="134"/>
      <c r="J23" s="134"/>
      <c r="K23" s="134"/>
      <c r="L23" s="134"/>
      <c r="M23" s="134"/>
      <c r="N23" s="134"/>
      <c r="O23" s="134"/>
      <c r="P23" s="134"/>
      <c r="Q23" s="134"/>
      <c r="R23" s="134"/>
      <c r="S23" s="134"/>
      <c r="T23" s="134"/>
      <c r="U23" s="134"/>
      <c r="V23" s="134"/>
      <c r="W23" s="134"/>
      <c r="X23" s="134"/>
      <c r="Y23" s="134"/>
      <c r="Z23" s="134"/>
      <c r="AA23" s="134"/>
      <c r="AB23" s="134"/>
      <c r="AC23" s="134"/>
      <c r="AD23" s="134"/>
      <c r="AE23" s="134"/>
      <c r="AF23" s="134"/>
      <c r="AG23" s="134"/>
      <c r="AH23" s="134"/>
      <c r="AI23" s="134"/>
      <c r="AJ23" s="134"/>
      <c r="AQ23" s="135" t="s">
        <v>196</v>
      </c>
    </row>
    <row r="24" spans="1:257" ht="12" customHeight="1" x14ac:dyDescent="0.25">
      <c r="A24" s="121"/>
      <c r="B24" s="121"/>
      <c r="C24" s="121"/>
      <c r="D24" s="121"/>
      <c r="E24" s="121"/>
      <c r="F24" s="121"/>
      <c r="G24" s="121"/>
      <c r="H24" s="121"/>
      <c r="I24" s="121"/>
      <c r="J24" s="121"/>
      <c r="K24" s="121"/>
      <c r="L24" s="121"/>
      <c r="M24" s="121"/>
      <c r="N24" s="121"/>
      <c r="O24" s="121"/>
      <c r="P24" s="121"/>
      <c r="Q24" s="121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  <c r="AC24" s="121"/>
      <c r="AD24" s="121"/>
      <c r="AE24" s="121"/>
      <c r="AF24" s="121"/>
      <c r="AG24" s="121"/>
      <c r="AH24" s="121"/>
      <c r="AI24" s="121"/>
      <c r="AJ24" s="121"/>
      <c r="AQ24" s="135" t="s">
        <v>197</v>
      </c>
    </row>
    <row r="25" spans="1:257" ht="42" customHeight="1" x14ac:dyDescent="0.25">
      <c r="A25" s="122" t="s">
        <v>198</v>
      </c>
      <c r="B25" s="122"/>
      <c r="C25" s="122"/>
      <c r="D25" s="122"/>
      <c r="E25" s="122"/>
      <c r="F25" s="122"/>
      <c r="G25" s="122"/>
      <c r="H25" s="122"/>
      <c r="I25" s="122"/>
      <c r="J25" s="122"/>
      <c r="K25" s="122"/>
      <c r="L25" s="122"/>
      <c r="M25" s="122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  <c r="AA25" s="122"/>
      <c r="AB25" s="122"/>
      <c r="AC25" s="122"/>
      <c r="AD25" s="122"/>
      <c r="AE25" s="122"/>
      <c r="AF25" s="122"/>
      <c r="AG25" s="122"/>
      <c r="AH25" s="122"/>
      <c r="AI25" s="122"/>
      <c r="AJ25" s="122"/>
    </row>
    <row r="26" spans="1:257" ht="12" customHeight="1" x14ac:dyDescent="0.25">
      <c r="A26" s="114" t="s">
        <v>199</v>
      </c>
    </row>
    <row r="27" spans="1:257" ht="33.75" customHeight="1" x14ac:dyDescent="0.25">
      <c r="A27" s="121"/>
      <c r="B27" s="121"/>
      <c r="C27" s="121"/>
      <c r="D27" s="121"/>
      <c r="E27" s="121"/>
      <c r="F27" s="121"/>
      <c r="G27" s="121"/>
      <c r="H27" s="121"/>
      <c r="I27" s="121"/>
      <c r="J27" s="121"/>
      <c r="K27" s="121"/>
      <c r="L27" s="121"/>
      <c r="M27" s="121"/>
      <c r="N27" s="121"/>
      <c r="O27" s="121"/>
      <c r="P27" s="121"/>
      <c r="Q27" s="121"/>
      <c r="R27" s="121"/>
      <c r="S27" s="121"/>
      <c r="T27" s="121"/>
      <c r="U27" s="121"/>
      <c r="V27" s="121"/>
      <c r="W27" s="121"/>
      <c r="X27" s="121"/>
      <c r="Y27" s="121"/>
      <c r="Z27" s="121"/>
      <c r="AA27" s="121"/>
      <c r="AB27" s="121"/>
      <c r="AC27" s="121"/>
      <c r="AD27" s="121"/>
      <c r="AE27" s="121"/>
      <c r="AF27" s="121"/>
      <c r="AG27" s="121"/>
      <c r="AH27" s="121"/>
      <c r="AI27" s="121"/>
      <c r="AJ27" s="121"/>
    </row>
    <row r="28" spans="1:257" ht="9" customHeight="1" x14ac:dyDescent="0.25">
      <c r="A28" s="122" t="s">
        <v>200</v>
      </c>
      <c r="B28" s="122"/>
      <c r="C28" s="122"/>
      <c r="D28" s="122"/>
      <c r="E28" s="122"/>
      <c r="F28" s="122"/>
      <c r="G28" s="122"/>
      <c r="H28" s="122"/>
      <c r="I28" s="122"/>
      <c r="J28" s="122"/>
      <c r="K28" s="122"/>
      <c r="L28" s="122"/>
      <c r="M28" s="122"/>
      <c r="N28" s="122"/>
      <c r="O28" s="122"/>
      <c r="P28" s="122"/>
      <c r="Q28" s="122"/>
      <c r="R28" s="122"/>
      <c r="S28" s="122"/>
      <c r="T28" s="122"/>
      <c r="U28" s="122"/>
      <c r="V28" s="122"/>
      <c r="W28" s="122"/>
      <c r="X28" s="122"/>
      <c r="Y28" s="122"/>
      <c r="Z28" s="122"/>
      <c r="AA28" s="122"/>
      <c r="AB28" s="122"/>
      <c r="AC28" s="122"/>
      <c r="AD28" s="122"/>
      <c r="AE28" s="122"/>
      <c r="AF28" s="122"/>
      <c r="AG28" s="122"/>
      <c r="AH28" s="122"/>
      <c r="AI28" s="122"/>
      <c r="AJ28" s="122"/>
    </row>
    <row r="29" spans="1:257" ht="24.75" customHeight="1" x14ac:dyDescent="0.25">
      <c r="A29" s="123" t="s">
        <v>201</v>
      </c>
      <c r="B29" s="123"/>
      <c r="C29" s="123"/>
      <c r="D29" s="123"/>
      <c r="E29" s="123"/>
      <c r="F29" s="123"/>
      <c r="G29" s="123"/>
      <c r="H29" s="123"/>
      <c r="I29" s="123"/>
      <c r="J29" s="123"/>
      <c r="K29" s="123"/>
      <c r="L29" s="123"/>
      <c r="M29" s="123"/>
      <c r="N29" s="123"/>
      <c r="O29" s="123"/>
      <c r="P29" s="123"/>
      <c r="Q29" s="123"/>
      <c r="R29" s="123"/>
      <c r="S29" s="123"/>
      <c r="T29" s="123"/>
      <c r="U29" s="123"/>
      <c r="V29" s="123"/>
      <c r="W29" s="123"/>
      <c r="X29" s="123"/>
      <c r="Y29" s="123"/>
      <c r="Z29" s="123"/>
      <c r="AA29" s="123"/>
      <c r="AB29" s="123"/>
      <c r="AC29" s="123"/>
      <c r="AD29" s="123"/>
      <c r="AE29" s="123"/>
      <c r="AF29" s="123"/>
      <c r="AG29" s="123"/>
      <c r="AH29" s="123"/>
      <c r="AI29" s="123"/>
      <c r="AJ29" s="123"/>
    </row>
    <row r="30" spans="1:257" ht="33.75" customHeight="1" x14ac:dyDescent="0.25">
      <c r="A30" s="121"/>
      <c r="B30" s="121"/>
      <c r="C30" s="121"/>
      <c r="D30" s="121"/>
      <c r="E30" s="121"/>
      <c r="F30" s="121"/>
      <c r="G30" s="121"/>
      <c r="H30" s="121"/>
      <c r="I30" s="121"/>
      <c r="J30" s="121"/>
      <c r="K30" s="121"/>
      <c r="L30" s="121"/>
      <c r="M30" s="121"/>
      <c r="N30" s="121"/>
      <c r="O30" s="121"/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  <c r="AD30" s="121"/>
      <c r="AE30" s="121"/>
      <c r="AF30" s="121"/>
      <c r="AG30" s="121"/>
      <c r="AH30" s="121"/>
      <c r="AI30" s="121"/>
      <c r="AJ30" s="121"/>
      <c r="AK30" s="136"/>
      <c r="AL30" s="136"/>
      <c r="AM30" s="136"/>
      <c r="AN30" s="136"/>
      <c r="AO30" s="136"/>
      <c r="AP30" s="136"/>
      <c r="AQ30" s="136"/>
      <c r="AR30" s="136"/>
      <c r="AS30" s="136"/>
      <c r="AT30" s="136"/>
      <c r="AU30" s="136"/>
      <c r="AV30" s="136"/>
      <c r="AW30" s="136"/>
      <c r="AX30" s="136"/>
      <c r="AY30" s="136"/>
      <c r="AZ30" s="136"/>
      <c r="BA30" s="136"/>
      <c r="BB30" s="136"/>
      <c r="BC30" s="136"/>
      <c r="BD30" s="136"/>
      <c r="BE30" s="136"/>
      <c r="BF30" s="136"/>
      <c r="BG30" s="136"/>
      <c r="BH30" s="136"/>
      <c r="BI30" s="136"/>
      <c r="BJ30" s="136"/>
      <c r="BK30" s="136"/>
      <c r="BL30" s="136"/>
      <c r="BM30" s="136"/>
      <c r="BN30" s="136"/>
      <c r="BO30" s="136"/>
      <c r="BP30" s="136"/>
      <c r="BQ30" s="136"/>
      <c r="BR30" s="136"/>
      <c r="BS30" s="136"/>
      <c r="BT30" s="136"/>
      <c r="BU30" s="136"/>
      <c r="BV30" s="136"/>
      <c r="BW30" s="136"/>
      <c r="BX30" s="136"/>
      <c r="BY30" s="136"/>
      <c r="BZ30" s="136"/>
      <c r="CA30" s="136"/>
      <c r="CB30" s="136"/>
      <c r="CC30" s="136"/>
      <c r="CD30" s="136"/>
      <c r="CE30" s="136"/>
      <c r="CF30" s="136"/>
      <c r="CG30" s="136"/>
      <c r="CH30" s="136"/>
      <c r="CI30" s="136"/>
      <c r="CJ30" s="136"/>
      <c r="CK30" s="136"/>
      <c r="CL30" s="136"/>
      <c r="CM30" s="136"/>
      <c r="CN30" s="136"/>
      <c r="CO30" s="136"/>
      <c r="CP30" s="136"/>
      <c r="CQ30" s="136"/>
      <c r="CR30" s="136"/>
      <c r="CS30" s="136"/>
      <c r="CT30" s="136"/>
      <c r="CU30" s="136"/>
      <c r="CV30" s="136"/>
      <c r="CW30" s="136"/>
      <c r="CX30" s="136"/>
      <c r="CY30" s="136"/>
      <c r="CZ30" s="136"/>
      <c r="DA30" s="136"/>
      <c r="DB30" s="136"/>
      <c r="DC30" s="136"/>
      <c r="DD30" s="136"/>
      <c r="DE30" s="136"/>
      <c r="DF30" s="136"/>
      <c r="DG30" s="136"/>
      <c r="DH30" s="136"/>
      <c r="DI30" s="136"/>
      <c r="DJ30" s="136"/>
      <c r="DK30" s="136"/>
      <c r="DL30" s="136"/>
      <c r="DM30" s="136"/>
      <c r="DN30" s="136"/>
      <c r="DO30" s="136"/>
      <c r="DP30" s="136"/>
      <c r="DQ30" s="136"/>
      <c r="DR30" s="136"/>
      <c r="DS30" s="136"/>
      <c r="DT30" s="136"/>
      <c r="DU30" s="136"/>
      <c r="DV30" s="136"/>
      <c r="DW30" s="136"/>
      <c r="DX30" s="136"/>
      <c r="DY30" s="136"/>
      <c r="DZ30" s="136"/>
      <c r="EA30" s="136"/>
      <c r="EB30" s="136"/>
      <c r="EC30" s="136"/>
      <c r="ED30" s="136"/>
      <c r="EE30" s="136"/>
      <c r="EF30" s="136"/>
      <c r="EG30" s="136"/>
      <c r="EH30" s="136"/>
      <c r="EI30" s="136"/>
      <c r="EJ30" s="136"/>
      <c r="EK30" s="136"/>
      <c r="EL30" s="136"/>
      <c r="EM30" s="136"/>
      <c r="EN30" s="136"/>
      <c r="EO30" s="136"/>
      <c r="EP30" s="136"/>
      <c r="EQ30" s="136"/>
      <c r="ER30" s="136"/>
      <c r="ES30" s="136"/>
      <c r="ET30" s="136"/>
      <c r="EU30" s="136"/>
      <c r="EV30" s="136"/>
      <c r="EW30" s="136"/>
      <c r="EX30" s="136"/>
      <c r="EY30" s="136"/>
      <c r="EZ30" s="136"/>
      <c r="FA30" s="136"/>
      <c r="FB30" s="136"/>
      <c r="FC30" s="136"/>
      <c r="FD30" s="136"/>
      <c r="FE30" s="136"/>
      <c r="FF30" s="136"/>
      <c r="FG30" s="136"/>
      <c r="FH30" s="136"/>
      <c r="FI30" s="136"/>
      <c r="FJ30" s="136"/>
      <c r="FK30" s="136"/>
      <c r="FL30" s="136"/>
      <c r="FM30" s="136"/>
      <c r="FN30" s="136"/>
      <c r="FO30" s="136"/>
      <c r="FP30" s="136"/>
      <c r="FQ30" s="136"/>
      <c r="FR30" s="136"/>
      <c r="FS30" s="136"/>
      <c r="FT30" s="136"/>
      <c r="FU30" s="136"/>
      <c r="FV30" s="136"/>
      <c r="FW30" s="136"/>
      <c r="FX30" s="136"/>
      <c r="FY30" s="136"/>
      <c r="FZ30" s="136"/>
      <c r="GA30" s="136"/>
      <c r="GB30" s="136"/>
      <c r="GC30" s="136"/>
      <c r="GD30" s="136"/>
      <c r="GE30" s="136"/>
      <c r="GF30" s="136"/>
      <c r="GG30" s="136"/>
      <c r="GH30" s="136"/>
      <c r="GI30" s="136"/>
      <c r="GJ30" s="136"/>
      <c r="GK30" s="136"/>
      <c r="GL30" s="136"/>
      <c r="GM30" s="136"/>
      <c r="GN30" s="136"/>
      <c r="GO30" s="136"/>
      <c r="GP30" s="136"/>
      <c r="GQ30" s="136"/>
      <c r="GR30" s="136"/>
      <c r="GS30" s="136"/>
      <c r="GT30" s="136"/>
      <c r="GU30" s="136"/>
      <c r="GV30" s="136"/>
      <c r="GW30" s="136"/>
      <c r="GX30" s="136"/>
      <c r="GY30" s="136"/>
      <c r="GZ30" s="136"/>
      <c r="HA30" s="136"/>
      <c r="HB30" s="136"/>
      <c r="HC30" s="136"/>
      <c r="HD30" s="136"/>
      <c r="HE30" s="136"/>
      <c r="HF30" s="136"/>
      <c r="HG30" s="136"/>
      <c r="HH30" s="136"/>
      <c r="HI30" s="136"/>
      <c r="HJ30" s="136"/>
      <c r="HK30" s="136"/>
      <c r="HL30" s="136"/>
      <c r="HM30" s="136"/>
      <c r="HN30" s="136"/>
      <c r="HO30" s="136"/>
      <c r="HP30" s="136"/>
      <c r="HQ30" s="136"/>
      <c r="HR30" s="136"/>
      <c r="HS30" s="136"/>
      <c r="HT30" s="136"/>
      <c r="HU30" s="136"/>
      <c r="HV30" s="136"/>
      <c r="HW30" s="136"/>
      <c r="HX30" s="136"/>
      <c r="HY30" s="136"/>
      <c r="HZ30" s="136"/>
      <c r="IA30" s="136"/>
      <c r="IB30" s="136"/>
      <c r="IC30" s="136"/>
      <c r="ID30" s="136"/>
      <c r="IE30" s="136"/>
      <c r="IF30" s="136"/>
      <c r="IG30" s="136"/>
      <c r="IH30" s="136"/>
      <c r="II30" s="136"/>
      <c r="IJ30" s="136"/>
      <c r="IK30" s="136"/>
      <c r="IL30" s="136"/>
      <c r="IM30" s="136"/>
      <c r="IN30" s="136"/>
      <c r="IO30" s="136"/>
      <c r="IP30" s="136"/>
      <c r="IQ30" s="136"/>
      <c r="IR30" s="136"/>
      <c r="IS30" s="136"/>
      <c r="IT30" s="136"/>
      <c r="IU30" s="136"/>
      <c r="IV30" s="136"/>
      <c r="IW30" s="136"/>
    </row>
    <row r="31" spans="1:257" ht="34.5" customHeight="1" x14ac:dyDescent="0.25">
      <c r="A31" s="122" t="s">
        <v>202</v>
      </c>
      <c r="B31" s="122"/>
      <c r="C31" s="122"/>
      <c r="D31" s="122"/>
      <c r="E31" s="122"/>
      <c r="F31" s="122"/>
      <c r="G31" s="122"/>
      <c r="H31" s="122"/>
      <c r="I31" s="122"/>
      <c r="J31" s="122"/>
      <c r="K31" s="122"/>
      <c r="L31" s="122"/>
      <c r="M31" s="122"/>
      <c r="N31" s="122"/>
      <c r="O31" s="122"/>
      <c r="P31" s="122"/>
      <c r="Q31" s="122"/>
      <c r="R31" s="122"/>
      <c r="S31" s="122"/>
      <c r="T31" s="122"/>
      <c r="U31" s="122"/>
      <c r="V31" s="122"/>
      <c r="W31" s="122"/>
      <c r="X31" s="122"/>
      <c r="Y31" s="122"/>
      <c r="Z31" s="122"/>
      <c r="AA31" s="122"/>
      <c r="AB31" s="122"/>
      <c r="AC31" s="122"/>
      <c r="AD31" s="122"/>
      <c r="AE31" s="122"/>
      <c r="AF31" s="122"/>
      <c r="AG31" s="122"/>
      <c r="AH31" s="122"/>
      <c r="AI31" s="122"/>
      <c r="AJ31" s="122"/>
    </row>
    <row r="32" spans="1:257" ht="48" customHeight="1" x14ac:dyDescent="0.25">
      <c r="A32" s="137" t="s">
        <v>203</v>
      </c>
      <c r="B32" s="137"/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7"/>
      <c r="O32" s="137"/>
      <c r="P32" s="137"/>
      <c r="Q32" s="137"/>
      <c r="R32" s="137"/>
      <c r="S32" s="137"/>
      <c r="T32" s="137"/>
      <c r="U32" s="137"/>
      <c r="V32" s="137"/>
      <c r="W32" s="137"/>
      <c r="X32" s="137"/>
      <c r="Y32" s="137"/>
      <c r="Z32" s="137"/>
      <c r="AA32" s="137"/>
      <c r="AB32" s="137"/>
      <c r="AC32" s="137"/>
      <c r="AD32" s="137"/>
      <c r="AE32" s="137"/>
      <c r="AF32" s="137"/>
      <c r="AG32" s="137"/>
      <c r="AH32" s="137"/>
      <c r="AI32" s="137"/>
      <c r="AJ32" s="137"/>
    </row>
    <row r="33" spans="1:257" ht="15" customHeight="1" x14ac:dyDescent="0.25">
      <c r="A33" s="121"/>
      <c r="B33" s="121"/>
      <c r="C33" s="121"/>
      <c r="D33" s="121"/>
      <c r="E33" s="121"/>
      <c r="F33" s="121"/>
      <c r="G33" s="121"/>
      <c r="H33" s="121"/>
      <c r="I33" s="121"/>
      <c r="J33" s="121"/>
      <c r="K33" s="121"/>
      <c r="L33" s="121"/>
      <c r="M33" s="121"/>
      <c r="N33" s="121"/>
      <c r="O33" s="121"/>
      <c r="P33" s="121"/>
      <c r="Q33" s="121"/>
      <c r="R33" s="121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  <c r="AC33" s="121"/>
      <c r="AD33" s="121"/>
      <c r="AE33" s="121"/>
      <c r="AF33" s="121"/>
      <c r="AG33" s="121"/>
      <c r="AH33" s="121"/>
      <c r="AI33" s="121"/>
      <c r="AJ33" s="121"/>
      <c r="AK33" s="136"/>
      <c r="AL33" s="136"/>
      <c r="AM33" s="136"/>
      <c r="AN33" s="136"/>
      <c r="AO33" s="136"/>
      <c r="AP33" s="136"/>
      <c r="AQ33" s="136"/>
      <c r="AR33" s="136"/>
      <c r="AS33" s="136"/>
      <c r="AT33" s="136"/>
      <c r="AU33" s="136"/>
      <c r="AV33" s="136"/>
      <c r="AW33" s="136"/>
      <c r="AX33" s="136"/>
      <c r="AY33" s="136"/>
      <c r="AZ33" s="136"/>
      <c r="BA33" s="136"/>
      <c r="BB33" s="136"/>
      <c r="BC33" s="136"/>
      <c r="BD33" s="136"/>
      <c r="BE33" s="136"/>
      <c r="BF33" s="136"/>
      <c r="BG33" s="136"/>
      <c r="BH33" s="136"/>
      <c r="BI33" s="136"/>
      <c r="BJ33" s="136"/>
      <c r="BK33" s="136"/>
      <c r="BL33" s="136"/>
      <c r="BM33" s="136"/>
      <c r="BN33" s="136"/>
      <c r="BO33" s="136"/>
      <c r="BP33" s="136"/>
      <c r="BQ33" s="136"/>
      <c r="BR33" s="136"/>
      <c r="BS33" s="136"/>
      <c r="BT33" s="136"/>
      <c r="BU33" s="136"/>
      <c r="BV33" s="136"/>
      <c r="BW33" s="136"/>
      <c r="BX33" s="136"/>
      <c r="BY33" s="136"/>
      <c r="BZ33" s="136"/>
      <c r="CA33" s="136"/>
      <c r="CB33" s="136"/>
      <c r="CC33" s="136"/>
      <c r="CD33" s="136"/>
      <c r="CE33" s="136"/>
      <c r="CF33" s="136"/>
      <c r="CG33" s="136"/>
      <c r="CH33" s="136"/>
      <c r="CI33" s="136"/>
      <c r="CJ33" s="136"/>
      <c r="CK33" s="136"/>
      <c r="CL33" s="136"/>
      <c r="CM33" s="136"/>
      <c r="CN33" s="136"/>
      <c r="CO33" s="136"/>
      <c r="CP33" s="136"/>
      <c r="CQ33" s="136"/>
      <c r="CR33" s="136"/>
      <c r="CS33" s="136"/>
      <c r="CT33" s="136"/>
      <c r="CU33" s="136"/>
      <c r="CV33" s="136"/>
      <c r="CW33" s="136"/>
      <c r="CX33" s="136"/>
      <c r="CY33" s="136"/>
      <c r="CZ33" s="136"/>
      <c r="DA33" s="136"/>
      <c r="DB33" s="136"/>
      <c r="DC33" s="136"/>
      <c r="DD33" s="136"/>
      <c r="DE33" s="136"/>
      <c r="DF33" s="136"/>
      <c r="DG33" s="136"/>
      <c r="DH33" s="136"/>
      <c r="DI33" s="136"/>
      <c r="DJ33" s="136"/>
      <c r="DK33" s="136"/>
      <c r="DL33" s="136"/>
      <c r="DM33" s="136"/>
      <c r="DN33" s="136"/>
      <c r="DO33" s="136"/>
      <c r="DP33" s="136"/>
      <c r="DQ33" s="136"/>
      <c r="DR33" s="136"/>
      <c r="DS33" s="136"/>
      <c r="DT33" s="136"/>
      <c r="DU33" s="136"/>
      <c r="DV33" s="136"/>
      <c r="DW33" s="136"/>
      <c r="DX33" s="136"/>
      <c r="DY33" s="136"/>
      <c r="DZ33" s="136"/>
      <c r="EA33" s="136"/>
      <c r="EB33" s="136"/>
      <c r="EC33" s="136"/>
      <c r="ED33" s="136"/>
      <c r="EE33" s="136"/>
      <c r="EF33" s="136"/>
      <c r="EG33" s="136"/>
      <c r="EH33" s="136"/>
      <c r="EI33" s="136"/>
      <c r="EJ33" s="136"/>
      <c r="EK33" s="136"/>
      <c r="EL33" s="136"/>
      <c r="EM33" s="136"/>
      <c r="EN33" s="136"/>
      <c r="EO33" s="136"/>
      <c r="EP33" s="136"/>
      <c r="EQ33" s="136"/>
      <c r="ER33" s="136"/>
      <c r="ES33" s="136"/>
      <c r="ET33" s="136"/>
      <c r="EU33" s="136"/>
      <c r="EV33" s="136"/>
      <c r="EW33" s="136"/>
      <c r="EX33" s="136"/>
      <c r="EY33" s="136"/>
      <c r="EZ33" s="136"/>
      <c r="FA33" s="136"/>
      <c r="FB33" s="136"/>
      <c r="FC33" s="136"/>
      <c r="FD33" s="136"/>
      <c r="FE33" s="136"/>
      <c r="FF33" s="136"/>
      <c r="FG33" s="136"/>
      <c r="FH33" s="136"/>
      <c r="FI33" s="136"/>
      <c r="FJ33" s="136"/>
      <c r="FK33" s="136"/>
      <c r="FL33" s="136"/>
      <c r="FM33" s="136"/>
      <c r="FN33" s="136"/>
      <c r="FO33" s="136"/>
      <c r="FP33" s="136"/>
      <c r="FQ33" s="136"/>
      <c r="FR33" s="136"/>
      <c r="FS33" s="136"/>
      <c r="FT33" s="136"/>
      <c r="FU33" s="136"/>
      <c r="FV33" s="136"/>
      <c r="FW33" s="136"/>
      <c r="FX33" s="136"/>
      <c r="FY33" s="136"/>
      <c r="FZ33" s="136"/>
      <c r="GA33" s="136"/>
      <c r="GB33" s="136"/>
      <c r="GC33" s="136"/>
      <c r="GD33" s="136"/>
      <c r="GE33" s="136"/>
      <c r="GF33" s="136"/>
      <c r="GG33" s="136"/>
      <c r="GH33" s="136"/>
      <c r="GI33" s="136"/>
      <c r="GJ33" s="136"/>
      <c r="GK33" s="136"/>
      <c r="GL33" s="136"/>
      <c r="GM33" s="136"/>
      <c r="GN33" s="136"/>
      <c r="GO33" s="136"/>
      <c r="GP33" s="136"/>
      <c r="GQ33" s="136"/>
      <c r="GR33" s="136"/>
      <c r="GS33" s="136"/>
      <c r="GT33" s="136"/>
      <c r="GU33" s="136"/>
      <c r="GV33" s="136"/>
      <c r="GW33" s="136"/>
      <c r="GX33" s="136"/>
      <c r="GY33" s="136"/>
      <c r="GZ33" s="136"/>
      <c r="HA33" s="136"/>
      <c r="HB33" s="136"/>
      <c r="HC33" s="136"/>
      <c r="HD33" s="136"/>
      <c r="HE33" s="136"/>
      <c r="HF33" s="136"/>
      <c r="HG33" s="136"/>
      <c r="HH33" s="136"/>
      <c r="HI33" s="136"/>
      <c r="HJ33" s="136"/>
      <c r="HK33" s="136"/>
      <c r="HL33" s="136"/>
      <c r="HM33" s="136"/>
      <c r="HN33" s="136"/>
      <c r="HO33" s="136"/>
      <c r="HP33" s="136"/>
      <c r="HQ33" s="136"/>
      <c r="HR33" s="136"/>
      <c r="HS33" s="136"/>
      <c r="HT33" s="136"/>
      <c r="HU33" s="136"/>
      <c r="HV33" s="136"/>
      <c r="HW33" s="136"/>
      <c r="HX33" s="136"/>
      <c r="HY33" s="136"/>
      <c r="HZ33" s="136"/>
      <c r="IA33" s="136"/>
      <c r="IB33" s="136"/>
      <c r="IC33" s="136"/>
      <c r="ID33" s="136"/>
      <c r="IE33" s="136"/>
      <c r="IF33" s="136"/>
      <c r="IG33" s="136"/>
      <c r="IH33" s="136"/>
      <c r="II33" s="136"/>
      <c r="IJ33" s="136"/>
      <c r="IK33" s="136"/>
      <c r="IL33" s="136"/>
      <c r="IM33" s="136"/>
      <c r="IN33" s="136"/>
      <c r="IO33" s="136"/>
      <c r="IP33" s="136"/>
      <c r="IQ33" s="136"/>
      <c r="IR33" s="136"/>
      <c r="IS33" s="136"/>
      <c r="IT33" s="136"/>
      <c r="IU33" s="136"/>
      <c r="IV33" s="136"/>
      <c r="IW33" s="136"/>
    </row>
    <row r="34" spans="1:257" ht="21" customHeight="1" x14ac:dyDescent="0.25">
      <c r="A34" s="122" t="s">
        <v>204</v>
      </c>
      <c r="B34" s="122"/>
      <c r="C34" s="122"/>
      <c r="D34" s="122"/>
      <c r="E34" s="122"/>
      <c r="F34" s="122"/>
      <c r="G34" s="122"/>
      <c r="H34" s="122"/>
      <c r="I34" s="122"/>
      <c r="J34" s="122"/>
      <c r="K34" s="122"/>
      <c r="L34" s="122"/>
      <c r="M34" s="122"/>
      <c r="N34" s="122"/>
      <c r="O34" s="122"/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22"/>
      <c r="AA34" s="122"/>
      <c r="AB34" s="122"/>
      <c r="AC34" s="122"/>
      <c r="AD34" s="122"/>
      <c r="AE34" s="122"/>
      <c r="AF34" s="122"/>
      <c r="AG34" s="122"/>
      <c r="AH34" s="122"/>
      <c r="AI34" s="122"/>
      <c r="AJ34" s="122"/>
    </row>
    <row r="35" spans="1:257" ht="39.75" customHeight="1" x14ac:dyDescent="0.25">
      <c r="A35" s="137" t="s">
        <v>205</v>
      </c>
      <c r="B35" s="137"/>
      <c r="C35" s="137"/>
      <c r="D35" s="137"/>
      <c r="E35" s="137"/>
      <c r="F35" s="137"/>
      <c r="G35" s="137"/>
      <c r="H35" s="137"/>
      <c r="I35" s="137"/>
      <c r="J35" s="137"/>
      <c r="K35" s="137"/>
      <c r="L35" s="137"/>
      <c r="M35" s="137"/>
      <c r="N35" s="137"/>
      <c r="O35" s="137"/>
      <c r="P35" s="137"/>
      <c r="Q35" s="137"/>
      <c r="R35" s="137"/>
      <c r="S35" s="137"/>
      <c r="T35" s="137"/>
      <c r="U35" s="137"/>
      <c r="V35" s="137"/>
      <c r="W35" s="137"/>
      <c r="X35" s="137"/>
      <c r="Y35" s="137"/>
      <c r="Z35" s="137"/>
      <c r="AA35" s="137"/>
      <c r="AB35" s="137"/>
      <c r="AC35" s="137"/>
      <c r="AD35" s="137"/>
      <c r="AE35" s="137"/>
      <c r="AF35" s="137"/>
      <c r="AG35" s="137"/>
      <c r="AH35" s="137"/>
      <c r="AI35" s="137"/>
      <c r="AJ35" s="137"/>
    </row>
    <row r="36" spans="1:257" ht="15" customHeight="1" x14ac:dyDescent="0.25">
      <c r="A36" s="138"/>
      <c r="B36" s="138"/>
      <c r="C36" s="138"/>
      <c r="D36" s="138"/>
      <c r="E36" s="138"/>
      <c r="F36" s="138"/>
      <c r="G36" s="138"/>
      <c r="H36" s="138"/>
      <c r="I36" s="138"/>
      <c r="J36" s="138"/>
      <c r="K36" s="138"/>
      <c r="L36" s="138"/>
      <c r="M36" s="138"/>
      <c r="N36" s="138"/>
      <c r="O36" s="138"/>
      <c r="P36" s="138"/>
      <c r="Q36" s="138"/>
      <c r="R36" s="138"/>
      <c r="S36" s="138"/>
      <c r="T36" s="138"/>
      <c r="U36" s="138"/>
      <c r="V36" s="138"/>
      <c r="W36" s="138"/>
      <c r="X36" s="138"/>
      <c r="Y36" s="138"/>
      <c r="Z36" s="138"/>
      <c r="AA36" s="138"/>
      <c r="AB36" s="138"/>
      <c r="AC36" s="138"/>
      <c r="AD36" s="138"/>
      <c r="AE36" s="138"/>
      <c r="AF36" s="138"/>
      <c r="AG36" s="138"/>
      <c r="AH36" s="138"/>
      <c r="AI36" s="138"/>
      <c r="AJ36" s="138"/>
    </row>
    <row r="37" spans="1:257" ht="16.5" customHeight="1" x14ac:dyDescent="0.25">
      <c r="A37" s="139" t="s">
        <v>206</v>
      </c>
      <c r="B37" s="139"/>
      <c r="C37" s="139"/>
      <c r="D37" s="139"/>
      <c r="E37" s="139"/>
      <c r="F37" s="139"/>
      <c r="G37" s="139"/>
      <c r="H37" s="139"/>
      <c r="I37" s="139"/>
      <c r="J37" s="139"/>
      <c r="K37" s="139"/>
      <c r="L37" s="139"/>
      <c r="M37" s="139"/>
      <c r="N37" s="139"/>
      <c r="O37" s="139"/>
      <c r="P37" s="139"/>
      <c r="Q37" s="139"/>
      <c r="R37" s="139"/>
      <c r="S37" s="139"/>
      <c r="T37" s="139"/>
      <c r="U37" s="139"/>
      <c r="V37" s="139"/>
      <c r="W37" s="139"/>
      <c r="X37" s="139"/>
      <c r="Y37" s="139"/>
      <c r="Z37" s="139"/>
      <c r="AA37" s="139"/>
      <c r="AB37" s="139"/>
      <c r="AC37" s="139"/>
      <c r="AD37" s="139"/>
      <c r="AE37" s="139"/>
      <c r="AF37" s="139"/>
      <c r="AG37" s="139"/>
      <c r="AH37" s="139"/>
      <c r="AI37" s="139"/>
      <c r="AJ37" s="139"/>
    </row>
    <row r="38" spans="1:257" ht="12.75" customHeight="1" x14ac:dyDescent="0.25">
      <c r="A38" s="140" t="s">
        <v>207</v>
      </c>
    </row>
    <row r="39" spans="1:257" ht="12" customHeight="1" x14ac:dyDescent="0.25">
      <c r="A39" s="141" t="str">
        <f>CONCATENATE("Закрытого перехода методом ГНБ №",[1]Лист1!B2," по адресу: ",[1]Лист1!B5,)</f>
        <v xml:space="preserve">Закрытого перехода методом ГНБ № по адресу: </v>
      </c>
      <c r="B39" s="141"/>
      <c r="C39" s="141"/>
      <c r="D39" s="141"/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41"/>
      <c r="T39" s="141"/>
      <c r="U39" s="141"/>
      <c r="V39" s="141"/>
      <c r="W39" s="141"/>
      <c r="X39" s="141"/>
      <c r="Y39" s="141"/>
      <c r="Z39" s="141"/>
      <c r="AA39" s="141"/>
      <c r="AB39" s="141"/>
      <c r="AC39" s="141"/>
      <c r="AD39" s="141"/>
      <c r="AE39" s="141"/>
      <c r="AF39" s="141"/>
      <c r="AG39" s="141"/>
      <c r="AH39" s="141"/>
      <c r="AI39" s="141"/>
      <c r="AJ39" s="141"/>
    </row>
    <row r="40" spans="1:257" ht="12" customHeight="1" x14ac:dyDescent="0.25">
      <c r="A40" s="140" t="s">
        <v>208</v>
      </c>
      <c r="B40" s="142"/>
      <c r="C40" s="142"/>
      <c r="D40" s="142"/>
      <c r="E40" s="142"/>
      <c r="F40" s="142"/>
      <c r="G40" s="142"/>
      <c r="H40" s="142"/>
      <c r="I40" s="142"/>
      <c r="J40" s="142"/>
      <c r="K40" s="142"/>
      <c r="L40" s="142"/>
      <c r="M40" s="142"/>
      <c r="N40" s="142"/>
      <c r="O40" s="142"/>
      <c r="P40" s="142"/>
      <c r="Q40" s="142"/>
      <c r="R40" s="142"/>
      <c r="S40" s="142"/>
      <c r="T40" s="142"/>
      <c r="U40" s="142"/>
      <c r="V40" s="142"/>
      <c r="W40" s="142"/>
      <c r="X40" s="142"/>
      <c r="Y40" s="142"/>
      <c r="Z40" s="142"/>
      <c r="AA40" s="142"/>
      <c r="AB40" s="142"/>
      <c r="AC40" s="142"/>
      <c r="AD40" s="142"/>
      <c r="AE40" s="142"/>
      <c r="AF40" s="142"/>
      <c r="AG40" s="142"/>
      <c r="AH40" s="142"/>
      <c r="AI40" s="142"/>
      <c r="AJ40" s="142"/>
    </row>
    <row r="41" spans="1:257" ht="34.5" customHeight="1" x14ac:dyDescent="0.25">
      <c r="A41" s="121">
        <f>A4</f>
        <v>0</v>
      </c>
      <c r="B41" s="121"/>
      <c r="C41" s="121"/>
      <c r="D41" s="121"/>
      <c r="E41" s="121"/>
      <c r="F41" s="121"/>
      <c r="G41" s="121"/>
      <c r="H41" s="121"/>
      <c r="I41" s="121"/>
      <c r="J41" s="121"/>
      <c r="K41" s="121"/>
      <c r="L41" s="121"/>
      <c r="M41" s="121"/>
      <c r="N41" s="121"/>
      <c r="O41" s="121"/>
      <c r="P41" s="121"/>
      <c r="Q41" s="121"/>
      <c r="R41" s="121"/>
      <c r="S41" s="121"/>
      <c r="T41" s="121"/>
      <c r="U41" s="121"/>
      <c r="V41" s="121"/>
      <c r="W41" s="121"/>
      <c r="X41" s="121"/>
      <c r="Y41" s="121"/>
      <c r="Z41" s="121"/>
      <c r="AA41" s="121"/>
      <c r="AB41" s="121"/>
      <c r="AC41" s="121"/>
      <c r="AD41" s="121"/>
      <c r="AE41" s="121"/>
      <c r="AF41" s="121"/>
      <c r="AG41" s="121"/>
      <c r="AH41" s="121"/>
      <c r="AI41" s="121"/>
      <c r="AJ41" s="121"/>
    </row>
    <row r="42" spans="1:257" ht="10.5" customHeight="1" x14ac:dyDescent="0.25">
      <c r="A42" s="122" t="s">
        <v>209</v>
      </c>
      <c r="B42" s="122"/>
      <c r="C42" s="122"/>
      <c r="D42" s="122"/>
      <c r="E42" s="122"/>
      <c r="F42" s="122"/>
      <c r="G42" s="122"/>
      <c r="H42" s="122"/>
      <c r="I42" s="122"/>
      <c r="J42" s="122"/>
      <c r="K42" s="12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  <c r="AA42" s="122"/>
      <c r="AB42" s="122"/>
      <c r="AC42" s="122"/>
      <c r="AD42" s="122"/>
      <c r="AE42" s="122"/>
      <c r="AF42" s="122"/>
      <c r="AG42" s="122"/>
      <c r="AH42" s="122"/>
      <c r="AI42" s="122"/>
      <c r="AJ42" s="122"/>
    </row>
    <row r="43" spans="1:257" ht="12" customHeight="1" x14ac:dyDescent="0.25">
      <c r="A43" s="140" t="s">
        <v>210</v>
      </c>
      <c r="B43" s="143"/>
      <c r="C43" s="143"/>
      <c r="D43" s="143"/>
      <c r="E43" s="143"/>
      <c r="F43" s="143"/>
      <c r="G43" s="143"/>
      <c r="H43" s="143"/>
      <c r="I43" s="143"/>
      <c r="J43" s="143"/>
      <c r="K43" s="143"/>
      <c r="L43" s="143"/>
      <c r="M43" s="143"/>
      <c r="N43" s="143"/>
      <c r="O43" s="143"/>
      <c r="P43" s="143"/>
      <c r="Q43" s="143"/>
      <c r="R43" s="143"/>
      <c r="S43" s="143"/>
      <c r="T43" s="143"/>
      <c r="U43" s="143"/>
      <c r="V43" s="143"/>
      <c r="W43" s="143"/>
      <c r="X43" s="143"/>
      <c r="Y43" s="143"/>
      <c r="Z43" s="143"/>
      <c r="AA43" s="143"/>
      <c r="AB43" s="143"/>
      <c r="AC43" s="143"/>
      <c r="AD43" s="143"/>
      <c r="AE43" s="143"/>
      <c r="AF43" s="143"/>
      <c r="AG43" s="143"/>
      <c r="AH43" s="143"/>
      <c r="AI43" s="143"/>
      <c r="AJ43" s="143"/>
      <c r="AK43" s="136"/>
      <c r="AL43" s="136"/>
      <c r="AM43" s="136"/>
      <c r="AN43" s="136"/>
      <c r="AO43" s="136"/>
      <c r="AP43" s="136"/>
      <c r="AQ43" s="136"/>
      <c r="AR43" s="136"/>
      <c r="AS43" s="136"/>
      <c r="AT43" s="136"/>
      <c r="AU43" s="136"/>
      <c r="AV43" s="136"/>
      <c r="AW43" s="136"/>
      <c r="AX43" s="136"/>
      <c r="AY43" s="136"/>
      <c r="AZ43" s="136"/>
      <c r="BA43" s="136"/>
      <c r="BB43" s="136"/>
      <c r="BC43" s="136"/>
      <c r="BD43" s="136"/>
      <c r="BE43" s="136"/>
      <c r="BF43" s="136"/>
      <c r="BG43" s="136"/>
      <c r="BH43" s="136"/>
      <c r="BI43" s="136"/>
      <c r="BJ43" s="136"/>
      <c r="BK43" s="136"/>
      <c r="BL43" s="136"/>
      <c r="BM43" s="136"/>
      <c r="BN43" s="136"/>
      <c r="BO43" s="136"/>
      <c r="BP43" s="136"/>
      <c r="BQ43" s="136"/>
      <c r="BR43" s="136"/>
      <c r="BS43" s="136"/>
      <c r="BT43" s="136"/>
      <c r="BU43" s="136"/>
      <c r="BV43" s="136"/>
      <c r="BW43" s="136"/>
      <c r="BX43" s="136"/>
      <c r="BY43" s="136"/>
      <c r="BZ43" s="136"/>
      <c r="CA43" s="136"/>
      <c r="CB43" s="136"/>
      <c r="CC43" s="136"/>
      <c r="CD43" s="136"/>
      <c r="CE43" s="136"/>
      <c r="CF43" s="136"/>
      <c r="CG43" s="136"/>
      <c r="CH43" s="136"/>
      <c r="CI43" s="136"/>
      <c r="CJ43" s="136"/>
      <c r="CK43" s="136"/>
      <c r="CL43" s="136"/>
      <c r="CM43" s="136"/>
      <c r="CN43" s="136"/>
      <c r="CO43" s="136"/>
      <c r="CP43" s="136"/>
      <c r="CQ43" s="136"/>
      <c r="CR43" s="136"/>
      <c r="CS43" s="136"/>
      <c r="CT43" s="136"/>
      <c r="CU43" s="136"/>
      <c r="CV43" s="136"/>
      <c r="CW43" s="136"/>
      <c r="CX43" s="136"/>
      <c r="CY43" s="136"/>
      <c r="CZ43" s="136"/>
      <c r="DA43" s="136"/>
      <c r="DB43" s="136"/>
      <c r="DC43" s="136"/>
      <c r="DD43" s="136"/>
      <c r="DE43" s="136"/>
      <c r="DF43" s="136"/>
      <c r="DG43" s="136"/>
      <c r="DH43" s="136"/>
      <c r="DI43" s="136"/>
      <c r="DJ43" s="136"/>
      <c r="DK43" s="136"/>
      <c r="DL43" s="136"/>
      <c r="DM43" s="136"/>
      <c r="DN43" s="136"/>
      <c r="DO43" s="136"/>
      <c r="DP43" s="136"/>
      <c r="DQ43" s="136"/>
      <c r="DR43" s="136"/>
      <c r="DS43" s="136"/>
      <c r="DT43" s="136"/>
      <c r="DU43" s="136"/>
      <c r="DV43" s="136"/>
      <c r="DW43" s="136"/>
      <c r="DX43" s="136"/>
      <c r="DY43" s="136"/>
      <c r="DZ43" s="136"/>
      <c r="EA43" s="136"/>
      <c r="EB43" s="136"/>
      <c r="EC43" s="136"/>
      <c r="ED43" s="136"/>
      <c r="EE43" s="136"/>
      <c r="EF43" s="136"/>
      <c r="EG43" s="136"/>
      <c r="EH43" s="136"/>
      <c r="EI43" s="136"/>
      <c r="EJ43" s="136"/>
      <c r="EK43" s="136"/>
      <c r="EL43" s="136"/>
      <c r="EM43" s="136"/>
      <c r="EN43" s="136"/>
      <c r="EO43" s="136"/>
      <c r="EP43" s="136"/>
      <c r="EQ43" s="136"/>
      <c r="ER43" s="136"/>
      <c r="ES43" s="136"/>
      <c r="ET43" s="136"/>
      <c r="EU43" s="136"/>
      <c r="EV43" s="136"/>
      <c r="EW43" s="136"/>
      <c r="EX43" s="136"/>
      <c r="EY43" s="136"/>
      <c r="EZ43" s="136"/>
      <c r="FA43" s="136"/>
      <c r="FB43" s="136"/>
      <c r="FC43" s="136"/>
      <c r="FD43" s="136"/>
      <c r="FE43" s="136"/>
      <c r="FF43" s="136"/>
      <c r="FG43" s="136"/>
      <c r="FH43" s="136"/>
      <c r="FI43" s="136"/>
      <c r="FJ43" s="136"/>
      <c r="FK43" s="136"/>
      <c r="FL43" s="136"/>
      <c r="FM43" s="136"/>
      <c r="FN43" s="136"/>
      <c r="FO43" s="136"/>
      <c r="FP43" s="136"/>
      <c r="FQ43" s="136"/>
      <c r="FR43" s="136"/>
      <c r="FS43" s="136"/>
      <c r="FT43" s="136"/>
      <c r="FU43" s="136"/>
      <c r="FV43" s="136"/>
      <c r="FW43" s="136"/>
      <c r="FX43" s="136"/>
      <c r="FY43" s="136"/>
      <c r="FZ43" s="136"/>
      <c r="GA43" s="136"/>
      <c r="GB43" s="136"/>
      <c r="GC43" s="136"/>
      <c r="GD43" s="136"/>
      <c r="GE43" s="136"/>
      <c r="GF43" s="136"/>
      <c r="GG43" s="136"/>
      <c r="GH43" s="136"/>
      <c r="GI43" s="136"/>
      <c r="GJ43" s="136"/>
      <c r="GK43" s="136"/>
      <c r="GL43" s="136"/>
      <c r="GM43" s="136"/>
      <c r="GN43" s="136"/>
      <c r="GO43" s="136"/>
      <c r="GP43" s="136"/>
      <c r="GQ43" s="136"/>
      <c r="GR43" s="136"/>
      <c r="GS43" s="136"/>
      <c r="GT43" s="136"/>
      <c r="GU43" s="136"/>
      <c r="GV43" s="136"/>
      <c r="GW43" s="136"/>
      <c r="GX43" s="136"/>
      <c r="GY43" s="136"/>
      <c r="GZ43" s="136"/>
      <c r="HA43" s="136"/>
      <c r="HB43" s="136"/>
      <c r="HC43" s="136"/>
      <c r="HD43" s="136"/>
      <c r="HE43" s="136"/>
      <c r="HF43" s="136"/>
      <c r="HG43" s="136"/>
      <c r="HH43" s="136"/>
      <c r="HI43" s="136"/>
      <c r="HJ43" s="136"/>
      <c r="HK43" s="136"/>
      <c r="HL43" s="136"/>
      <c r="HM43" s="136"/>
      <c r="HN43" s="136"/>
      <c r="HO43" s="136"/>
      <c r="HP43" s="136"/>
      <c r="HQ43" s="136"/>
      <c r="HR43" s="136"/>
      <c r="HS43" s="136"/>
      <c r="HT43" s="136"/>
      <c r="HU43" s="136"/>
      <c r="HV43" s="136"/>
      <c r="HW43" s="136"/>
      <c r="HX43" s="136"/>
      <c r="HY43" s="136"/>
      <c r="HZ43" s="136"/>
      <c r="IA43" s="136"/>
      <c r="IB43" s="136"/>
      <c r="IC43" s="136"/>
      <c r="ID43" s="136"/>
      <c r="IE43" s="136"/>
      <c r="IF43" s="136"/>
      <c r="IG43" s="136"/>
      <c r="IH43" s="136"/>
      <c r="II43" s="136"/>
      <c r="IJ43" s="136"/>
      <c r="IK43" s="136"/>
      <c r="IL43" s="136"/>
      <c r="IM43" s="136"/>
      <c r="IN43" s="136"/>
      <c r="IO43" s="136"/>
      <c r="IP43" s="136"/>
      <c r="IQ43" s="136"/>
      <c r="IR43" s="136"/>
      <c r="IS43" s="136"/>
      <c r="IT43" s="136"/>
      <c r="IU43" s="136"/>
      <c r="IV43" s="136"/>
      <c r="IW43" s="136"/>
    </row>
    <row r="44" spans="1:257" ht="13.5" customHeight="1" x14ac:dyDescent="0.25">
      <c r="A44" s="144" t="s">
        <v>211</v>
      </c>
      <c r="B44" s="143"/>
      <c r="C44" s="143"/>
      <c r="D44" s="143"/>
      <c r="E44" s="143"/>
      <c r="F44" s="143"/>
      <c r="G44" s="143"/>
      <c r="H44" s="143"/>
      <c r="I44" s="143"/>
      <c r="J44" s="143"/>
      <c r="K44" s="143"/>
      <c r="L44" s="143"/>
      <c r="M44" s="143"/>
      <c r="N44" s="143"/>
      <c r="O44" s="143"/>
      <c r="P44" s="143"/>
      <c r="Q44" s="143"/>
      <c r="R44" s="143"/>
      <c r="S44" s="143"/>
      <c r="T44" s="143"/>
      <c r="U44" s="143"/>
      <c r="V44" s="143"/>
      <c r="W44" s="143"/>
      <c r="X44" s="143"/>
      <c r="Y44" s="143"/>
      <c r="Z44" s="143"/>
      <c r="AA44" s="143"/>
      <c r="AB44" s="143"/>
      <c r="AC44" s="143"/>
      <c r="AD44" s="143"/>
      <c r="AE44" s="143"/>
      <c r="AF44" s="143"/>
      <c r="AG44" s="143"/>
      <c r="AH44" s="143"/>
      <c r="AI44" s="143"/>
      <c r="AJ44" s="143"/>
      <c r="AK44" s="136"/>
      <c r="AL44" s="136"/>
      <c r="AM44" s="136"/>
      <c r="AN44" s="136"/>
      <c r="AO44" s="136"/>
      <c r="AP44" s="136"/>
      <c r="AQ44" s="136"/>
      <c r="AR44" s="136"/>
      <c r="AS44" s="136"/>
      <c r="AT44" s="136"/>
      <c r="AU44" s="136"/>
      <c r="AV44" s="136"/>
      <c r="AW44" s="136"/>
      <c r="AX44" s="136"/>
      <c r="AY44" s="136"/>
      <c r="AZ44" s="136"/>
      <c r="BA44" s="136"/>
      <c r="BB44" s="136"/>
      <c r="BC44" s="136"/>
      <c r="BD44" s="136"/>
      <c r="BE44" s="136"/>
      <c r="BF44" s="136"/>
      <c r="BG44" s="136"/>
      <c r="BH44" s="136"/>
      <c r="BI44" s="136"/>
      <c r="BJ44" s="136"/>
      <c r="BK44" s="136"/>
      <c r="BL44" s="136"/>
      <c r="BM44" s="136"/>
      <c r="BN44" s="136"/>
      <c r="BO44" s="136"/>
      <c r="BP44" s="136"/>
      <c r="BQ44" s="136"/>
      <c r="BR44" s="136"/>
      <c r="BS44" s="136"/>
      <c r="BT44" s="136"/>
      <c r="BU44" s="136"/>
      <c r="BV44" s="136"/>
      <c r="BW44" s="136"/>
      <c r="BX44" s="136"/>
      <c r="BY44" s="136"/>
      <c r="BZ44" s="136"/>
      <c r="CA44" s="136"/>
      <c r="CB44" s="136"/>
      <c r="CC44" s="136"/>
      <c r="CD44" s="136"/>
      <c r="CE44" s="136"/>
      <c r="CF44" s="136"/>
      <c r="CG44" s="136"/>
      <c r="CH44" s="136"/>
      <c r="CI44" s="136"/>
      <c r="CJ44" s="136"/>
      <c r="CK44" s="136"/>
      <c r="CL44" s="136"/>
      <c r="CM44" s="136"/>
      <c r="CN44" s="136"/>
      <c r="CO44" s="136"/>
      <c r="CP44" s="136"/>
      <c r="CQ44" s="136"/>
      <c r="CR44" s="136"/>
      <c r="CS44" s="136"/>
      <c r="CT44" s="136"/>
      <c r="CU44" s="136"/>
      <c r="CV44" s="136"/>
      <c r="CW44" s="136"/>
      <c r="CX44" s="136"/>
      <c r="CY44" s="136"/>
      <c r="CZ44" s="136"/>
      <c r="DA44" s="136"/>
      <c r="DB44" s="136"/>
      <c r="DC44" s="136"/>
      <c r="DD44" s="136"/>
      <c r="DE44" s="136"/>
      <c r="DF44" s="136"/>
      <c r="DG44" s="136"/>
      <c r="DH44" s="136"/>
      <c r="DI44" s="136"/>
      <c r="DJ44" s="136"/>
      <c r="DK44" s="136"/>
      <c r="DL44" s="136"/>
      <c r="DM44" s="136"/>
      <c r="DN44" s="136"/>
      <c r="DO44" s="136"/>
      <c r="DP44" s="136"/>
      <c r="DQ44" s="136"/>
      <c r="DR44" s="136"/>
      <c r="DS44" s="136"/>
      <c r="DT44" s="136"/>
      <c r="DU44" s="136"/>
      <c r="DV44" s="136"/>
      <c r="DW44" s="136"/>
      <c r="DX44" s="136"/>
      <c r="DY44" s="136"/>
      <c r="DZ44" s="136"/>
      <c r="EA44" s="136"/>
      <c r="EB44" s="136"/>
      <c r="EC44" s="136"/>
      <c r="ED44" s="136"/>
      <c r="EE44" s="136"/>
      <c r="EF44" s="136"/>
      <c r="EG44" s="136"/>
      <c r="EH44" s="136"/>
      <c r="EI44" s="136"/>
      <c r="EJ44" s="136"/>
      <c r="EK44" s="136"/>
      <c r="EL44" s="136"/>
      <c r="EM44" s="136"/>
      <c r="EN44" s="136"/>
      <c r="EO44" s="136"/>
      <c r="EP44" s="136"/>
      <c r="EQ44" s="136"/>
      <c r="ER44" s="136"/>
      <c r="ES44" s="136"/>
      <c r="ET44" s="136"/>
      <c r="EU44" s="136"/>
      <c r="EV44" s="136"/>
      <c r="EW44" s="136"/>
      <c r="EX44" s="136"/>
      <c r="EY44" s="136"/>
      <c r="EZ44" s="136"/>
      <c r="FA44" s="136"/>
      <c r="FB44" s="136"/>
      <c r="FC44" s="136"/>
      <c r="FD44" s="136"/>
      <c r="FE44" s="136"/>
      <c r="FF44" s="136"/>
      <c r="FG44" s="136"/>
      <c r="FH44" s="136"/>
      <c r="FI44" s="136"/>
      <c r="FJ44" s="136"/>
      <c r="FK44" s="136"/>
      <c r="FL44" s="136"/>
      <c r="FM44" s="136"/>
      <c r="FN44" s="136"/>
      <c r="FO44" s="136"/>
      <c r="FP44" s="136"/>
      <c r="FQ44" s="136"/>
      <c r="FR44" s="136"/>
      <c r="FS44" s="136"/>
      <c r="FT44" s="136"/>
      <c r="FU44" s="136"/>
      <c r="FV44" s="136"/>
      <c r="FW44" s="136"/>
      <c r="FX44" s="136"/>
      <c r="FY44" s="136"/>
      <c r="FZ44" s="136"/>
      <c r="GA44" s="136"/>
      <c r="GB44" s="136"/>
      <c r="GC44" s="136"/>
      <c r="GD44" s="136"/>
      <c r="GE44" s="136"/>
      <c r="GF44" s="136"/>
      <c r="GG44" s="136"/>
      <c r="GH44" s="136"/>
      <c r="GI44" s="136"/>
      <c r="GJ44" s="136"/>
      <c r="GK44" s="136"/>
      <c r="GL44" s="136"/>
      <c r="GM44" s="136"/>
      <c r="GN44" s="136"/>
      <c r="GO44" s="136"/>
      <c r="GP44" s="136"/>
      <c r="GQ44" s="136"/>
      <c r="GR44" s="136"/>
      <c r="GS44" s="136"/>
      <c r="GT44" s="136"/>
      <c r="GU44" s="136"/>
      <c r="GV44" s="136"/>
      <c r="GW44" s="136"/>
      <c r="GX44" s="136"/>
      <c r="GY44" s="136"/>
      <c r="GZ44" s="136"/>
      <c r="HA44" s="136"/>
      <c r="HB44" s="136"/>
      <c r="HC44" s="136"/>
      <c r="HD44" s="136"/>
      <c r="HE44" s="136"/>
      <c r="HF44" s="136"/>
      <c r="HG44" s="136"/>
      <c r="HH44" s="136"/>
      <c r="HI44" s="136"/>
      <c r="HJ44" s="136"/>
      <c r="HK44" s="136"/>
      <c r="HL44" s="136"/>
      <c r="HM44" s="136"/>
      <c r="HN44" s="136"/>
      <c r="HO44" s="136"/>
      <c r="HP44" s="136"/>
      <c r="HQ44" s="136"/>
      <c r="HR44" s="136"/>
      <c r="HS44" s="136"/>
      <c r="HT44" s="136"/>
      <c r="HU44" s="136"/>
      <c r="HV44" s="136"/>
      <c r="HW44" s="136"/>
      <c r="HX44" s="136"/>
      <c r="HY44" s="136"/>
      <c r="HZ44" s="136"/>
      <c r="IA44" s="136"/>
      <c r="IB44" s="136"/>
      <c r="IC44" s="136"/>
      <c r="ID44" s="136"/>
      <c r="IE44" s="136"/>
      <c r="IF44" s="136"/>
      <c r="IG44" s="136"/>
      <c r="IH44" s="136"/>
      <c r="II44" s="136"/>
      <c r="IJ44" s="136"/>
      <c r="IK44" s="136"/>
      <c r="IL44" s="136"/>
      <c r="IM44" s="136"/>
      <c r="IN44" s="136"/>
      <c r="IO44" s="136"/>
      <c r="IP44" s="136"/>
      <c r="IQ44" s="136"/>
      <c r="IR44" s="136"/>
      <c r="IS44" s="136"/>
      <c r="IT44" s="136"/>
      <c r="IU44" s="136"/>
      <c r="IV44" s="136"/>
      <c r="IW44" s="136"/>
    </row>
    <row r="45" spans="1:257" ht="13.5" customHeight="1" x14ac:dyDescent="0.25">
      <c r="A45" s="141"/>
      <c r="B45" s="141"/>
      <c r="C45" s="141"/>
      <c r="D45" s="141"/>
      <c r="E45" s="141"/>
      <c r="F45" s="141"/>
      <c r="G45" s="141"/>
      <c r="H45" s="141"/>
      <c r="I45" s="141"/>
      <c r="J45" s="141"/>
      <c r="K45" s="141"/>
      <c r="L45" s="141"/>
      <c r="M45" s="141"/>
      <c r="N45" s="141"/>
      <c r="O45" s="141"/>
      <c r="P45" s="141"/>
      <c r="Q45" s="141"/>
      <c r="R45" s="141"/>
      <c r="S45" s="141"/>
      <c r="T45" s="141"/>
      <c r="U45" s="141"/>
      <c r="V45" s="141"/>
      <c r="W45" s="141"/>
      <c r="X45" s="141"/>
      <c r="Y45" s="141"/>
      <c r="Z45" s="141"/>
      <c r="AA45" s="141"/>
      <c r="AB45" s="141"/>
      <c r="AC45" s="141"/>
      <c r="AD45" s="141"/>
      <c r="AE45" s="141"/>
      <c r="AF45" s="141"/>
      <c r="AG45" s="141"/>
      <c r="AH45" s="141"/>
      <c r="AI45" s="141"/>
      <c r="AJ45" s="141"/>
      <c r="AK45" s="136"/>
      <c r="AL45" s="136"/>
      <c r="AM45" s="136"/>
      <c r="AN45" s="136"/>
      <c r="AO45" s="136"/>
      <c r="AP45" s="136"/>
      <c r="AQ45" s="136"/>
      <c r="AR45" s="136"/>
      <c r="AS45" s="136"/>
      <c r="AT45" s="136"/>
      <c r="AU45" s="136"/>
      <c r="AV45" s="136"/>
      <c r="AW45" s="136"/>
      <c r="AX45" s="136"/>
      <c r="AY45" s="136"/>
      <c r="AZ45" s="136"/>
      <c r="BA45" s="136"/>
      <c r="BB45" s="136"/>
      <c r="BC45" s="136"/>
      <c r="BD45" s="136"/>
      <c r="BE45" s="136"/>
      <c r="BF45" s="136"/>
      <c r="BG45" s="136"/>
      <c r="BH45" s="136"/>
      <c r="BI45" s="136"/>
      <c r="BJ45" s="136"/>
      <c r="BK45" s="136"/>
      <c r="BL45" s="136"/>
      <c r="BM45" s="136"/>
      <c r="BN45" s="136"/>
      <c r="BO45" s="136"/>
      <c r="BP45" s="136"/>
      <c r="BQ45" s="136"/>
      <c r="BR45" s="136"/>
      <c r="BS45" s="136"/>
      <c r="BT45" s="136"/>
      <c r="BU45" s="136"/>
      <c r="BV45" s="136"/>
      <c r="BW45" s="136"/>
      <c r="BX45" s="136"/>
      <c r="BY45" s="136"/>
      <c r="BZ45" s="136"/>
      <c r="CA45" s="136"/>
      <c r="CB45" s="136"/>
      <c r="CC45" s="136"/>
      <c r="CD45" s="136"/>
      <c r="CE45" s="136"/>
      <c r="CF45" s="136"/>
      <c r="CG45" s="136"/>
      <c r="CH45" s="136"/>
      <c r="CI45" s="136"/>
      <c r="CJ45" s="136"/>
      <c r="CK45" s="136"/>
      <c r="CL45" s="136"/>
      <c r="CM45" s="136"/>
      <c r="CN45" s="136"/>
      <c r="CO45" s="136"/>
      <c r="CP45" s="136"/>
      <c r="CQ45" s="136"/>
      <c r="CR45" s="136"/>
      <c r="CS45" s="136"/>
      <c r="CT45" s="136"/>
      <c r="CU45" s="136"/>
      <c r="CV45" s="136"/>
      <c r="CW45" s="136"/>
      <c r="CX45" s="136"/>
      <c r="CY45" s="136"/>
      <c r="CZ45" s="136"/>
      <c r="DA45" s="136"/>
      <c r="DB45" s="136"/>
      <c r="DC45" s="136"/>
      <c r="DD45" s="136"/>
      <c r="DE45" s="136"/>
      <c r="DF45" s="136"/>
      <c r="DG45" s="136"/>
      <c r="DH45" s="136"/>
      <c r="DI45" s="136"/>
      <c r="DJ45" s="136"/>
      <c r="DK45" s="136"/>
      <c r="DL45" s="136"/>
      <c r="DM45" s="136"/>
      <c r="DN45" s="136"/>
      <c r="DO45" s="136"/>
      <c r="DP45" s="136"/>
      <c r="DQ45" s="136"/>
      <c r="DR45" s="136"/>
      <c r="DS45" s="136"/>
      <c r="DT45" s="136"/>
      <c r="DU45" s="136"/>
      <c r="DV45" s="136"/>
      <c r="DW45" s="136"/>
      <c r="DX45" s="136"/>
      <c r="DY45" s="136"/>
      <c r="DZ45" s="136"/>
      <c r="EA45" s="136"/>
      <c r="EB45" s="136"/>
      <c r="EC45" s="136"/>
      <c r="ED45" s="136"/>
      <c r="EE45" s="136"/>
      <c r="EF45" s="136"/>
      <c r="EG45" s="136"/>
      <c r="EH45" s="136"/>
      <c r="EI45" s="136"/>
      <c r="EJ45" s="136"/>
      <c r="EK45" s="136"/>
      <c r="EL45" s="136"/>
      <c r="EM45" s="136"/>
      <c r="EN45" s="136"/>
      <c r="EO45" s="136"/>
      <c r="EP45" s="136"/>
      <c r="EQ45" s="136"/>
      <c r="ER45" s="136"/>
      <c r="ES45" s="136"/>
      <c r="ET45" s="136"/>
      <c r="EU45" s="136"/>
      <c r="EV45" s="136"/>
      <c r="EW45" s="136"/>
      <c r="EX45" s="136"/>
      <c r="EY45" s="136"/>
      <c r="EZ45" s="136"/>
      <c r="FA45" s="136"/>
      <c r="FB45" s="136"/>
      <c r="FC45" s="136"/>
      <c r="FD45" s="136"/>
      <c r="FE45" s="136"/>
      <c r="FF45" s="136"/>
      <c r="FG45" s="136"/>
      <c r="FH45" s="136"/>
      <c r="FI45" s="136"/>
      <c r="FJ45" s="136"/>
      <c r="FK45" s="136"/>
      <c r="FL45" s="136"/>
      <c r="FM45" s="136"/>
      <c r="FN45" s="136"/>
      <c r="FO45" s="136"/>
      <c r="FP45" s="136"/>
      <c r="FQ45" s="136"/>
      <c r="FR45" s="136"/>
      <c r="FS45" s="136"/>
      <c r="FT45" s="136"/>
      <c r="FU45" s="136"/>
      <c r="FV45" s="136"/>
      <c r="FW45" s="136"/>
      <c r="FX45" s="136"/>
      <c r="FY45" s="136"/>
      <c r="FZ45" s="136"/>
      <c r="GA45" s="136"/>
      <c r="GB45" s="136"/>
      <c r="GC45" s="136"/>
      <c r="GD45" s="136"/>
      <c r="GE45" s="136"/>
      <c r="GF45" s="136"/>
      <c r="GG45" s="136"/>
      <c r="GH45" s="136"/>
      <c r="GI45" s="136"/>
      <c r="GJ45" s="136"/>
      <c r="GK45" s="136"/>
      <c r="GL45" s="136"/>
      <c r="GM45" s="136"/>
      <c r="GN45" s="136"/>
      <c r="GO45" s="136"/>
      <c r="GP45" s="136"/>
      <c r="GQ45" s="136"/>
      <c r="GR45" s="136"/>
      <c r="GS45" s="136"/>
      <c r="GT45" s="136"/>
      <c r="GU45" s="136"/>
      <c r="GV45" s="136"/>
      <c r="GW45" s="136"/>
      <c r="GX45" s="136"/>
      <c r="GY45" s="136"/>
      <c r="GZ45" s="136"/>
      <c r="HA45" s="136"/>
      <c r="HB45" s="136"/>
      <c r="HC45" s="136"/>
      <c r="HD45" s="136"/>
      <c r="HE45" s="136"/>
      <c r="HF45" s="136"/>
      <c r="HG45" s="136"/>
      <c r="HH45" s="136"/>
      <c r="HI45" s="136"/>
      <c r="HJ45" s="136"/>
      <c r="HK45" s="136"/>
      <c r="HL45" s="136"/>
      <c r="HM45" s="136"/>
      <c r="HN45" s="136"/>
      <c r="HO45" s="136"/>
      <c r="HP45" s="136"/>
      <c r="HQ45" s="136"/>
      <c r="HR45" s="136"/>
      <c r="HS45" s="136"/>
      <c r="HT45" s="136"/>
      <c r="HU45" s="136"/>
      <c r="HV45" s="136"/>
      <c r="HW45" s="136"/>
      <c r="HX45" s="136"/>
      <c r="HY45" s="136"/>
      <c r="HZ45" s="136"/>
      <c r="IA45" s="136"/>
      <c r="IB45" s="136"/>
      <c r="IC45" s="136"/>
      <c r="ID45" s="136"/>
      <c r="IE45" s="136"/>
      <c r="IF45" s="136"/>
      <c r="IG45" s="136"/>
      <c r="IH45" s="136"/>
      <c r="II45" s="136"/>
      <c r="IJ45" s="136"/>
      <c r="IK45" s="136"/>
      <c r="IL45" s="136"/>
      <c r="IM45" s="136"/>
      <c r="IN45" s="136"/>
      <c r="IO45" s="136"/>
      <c r="IP45" s="136"/>
      <c r="IQ45" s="136"/>
      <c r="IR45" s="136"/>
      <c r="IS45" s="136"/>
      <c r="IT45" s="136"/>
      <c r="IU45" s="136"/>
      <c r="IV45" s="136"/>
      <c r="IW45" s="136"/>
    </row>
    <row r="46" spans="1:257" ht="8.25" customHeight="1" x14ac:dyDescent="0.25">
      <c r="A46" s="122" t="s">
        <v>212</v>
      </c>
      <c r="B46" s="122"/>
      <c r="C46" s="122"/>
      <c r="D46" s="122"/>
      <c r="E46" s="122"/>
      <c r="F46" s="122"/>
      <c r="G46" s="122"/>
      <c r="H46" s="122"/>
      <c r="I46" s="122"/>
      <c r="J46" s="122"/>
      <c r="K46" s="122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  <c r="AA46" s="122"/>
      <c r="AB46" s="122"/>
      <c r="AC46" s="122"/>
      <c r="AD46" s="122"/>
      <c r="AE46" s="122"/>
      <c r="AF46" s="122"/>
      <c r="AG46" s="122"/>
      <c r="AH46" s="122"/>
      <c r="AI46" s="122"/>
      <c r="AJ46" s="122"/>
    </row>
    <row r="47" spans="1:257" ht="13.5" customHeight="1" x14ac:dyDescent="0.25">
      <c r="A47" s="143" t="s">
        <v>213</v>
      </c>
      <c r="B47" s="143"/>
      <c r="C47" s="143"/>
      <c r="D47" s="143"/>
      <c r="E47" s="143"/>
      <c r="F47" s="143"/>
      <c r="G47" s="143"/>
      <c r="H47" s="143"/>
      <c r="I47" s="143"/>
      <c r="J47" s="143"/>
      <c r="K47" s="143"/>
      <c r="L47" s="143"/>
      <c r="M47" s="143"/>
      <c r="N47" s="141" t="s">
        <v>214</v>
      </c>
      <c r="O47" s="141"/>
      <c r="P47" s="141"/>
      <c r="Q47" s="141"/>
      <c r="R47" s="141"/>
      <c r="S47" s="141"/>
      <c r="T47" s="141"/>
      <c r="U47" s="141"/>
      <c r="V47" s="141"/>
      <c r="W47" s="141"/>
      <c r="X47" s="141"/>
      <c r="Y47" s="141"/>
      <c r="Z47" s="141"/>
      <c r="AA47" s="141"/>
      <c r="AB47" s="141"/>
      <c r="AC47" s="141"/>
      <c r="AD47" s="141"/>
      <c r="AE47" s="141"/>
      <c r="AF47" s="141"/>
      <c r="AG47" s="141"/>
      <c r="AH47" s="141"/>
      <c r="AI47" s="141"/>
      <c r="AJ47" s="141"/>
      <c r="AK47" s="143"/>
      <c r="AL47" s="143"/>
      <c r="AM47" s="143"/>
      <c r="AN47" s="143"/>
      <c r="AO47" s="143"/>
      <c r="AP47" s="143"/>
      <c r="AQ47" s="143"/>
      <c r="AR47" s="143"/>
      <c r="AS47" s="143"/>
      <c r="AT47" s="143"/>
      <c r="AU47" s="143"/>
      <c r="AV47" s="143"/>
      <c r="AW47" s="143"/>
      <c r="AX47" s="143"/>
      <c r="AY47" s="143"/>
      <c r="AZ47" s="143"/>
      <c r="BA47" s="143"/>
      <c r="BB47" s="143"/>
      <c r="BC47" s="143"/>
      <c r="BD47" s="143"/>
      <c r="BE47" s="143"/>
      <c r="BF47" s="143"/>
      <c r="BG47" s="143"/>
      <c r="BH47" s="143"/>
      <c r="BI47" s="143"/>
      <c r="BJ47" s="143"/>
      <c r="BK47" s="143"/>
      <c r="BL47" s="143"/>
      <c r="BM47" s="143"/>
      <c r="BN47" s="143"/>
      <c r="BO47" s="143"/>
      <c r="BP47" s="143"/>
      <c r="BQ47" s="143"/>
      <c r="BR47" s="143"/>
      <c r="BS47" s="143"/>
      <c r="BT47" s="143"/>
      <c r="BU47" s="143"/>
      <c r="BV47" s="143"/>
      <c r="BW47" s="143"/>
      <c r="BX47" s="143"/>
      <c r="BY47" s="143"/>
      <c r="BZ47" s="143"/>
      <c r="CA47" s="143"/>
      <c r="CB47" s="143"/>
      <c r="CC47" s="143"/>
      <c r="CD47" s="143"/>
      <c r="CE47" s="143"/>
      <c r="CF47" s="143"/>
      <c r="CG47" s="143"/>
      <c r="CH47" s="143"/>
      <c r="CI47" s="143"/>
      <c r="CJ47" s="143"/>
      <c r="CK47" s="143"/>
      <c r="CL47" s="143"/>
      <c r="CM47" s="143"/>
      <c r="CN47" s="143"/>
      <c r="CO47" s="143"/>
      <c r="CP47" s="143"/>
      <c r="CQ47" s="143"/>
      <c r="CR47" s="143"/>
      <c r="CS47" s="143"/>
      <c r="CT47" s="143"/>
      <c r="CU47" s="143"/>
      <c r="CV47" s="143"/>
      <c r="CW47" s="143"/>
      <c r="CX47" s="143"/>
      <c r="CY47" s="143"/>
      <c r="CZ47" s="143"/>
      <c r="DA47" s="143"/>
      <c r="DB47" s="143"/>
      <c r="DC47" s="143"/>
      <c r="DD47" s="143"/>
      <c r="DE47" s="143"/>
      <c r="DF47" s="143"/>
      <c r="DG47" s="143"/>
      <c r="DH47" s="143"/>
      <c r="DI47" s="143"/>
      <c r="DJ47" s="143"/>
      <c r="DK47" s="143"/>
      <c r="DL47" s="143"/>
      <c r="DM47" s="143"/>
      <c r="DN47" s="143"/>
      <c r="DO47" s="143"/>
      <c r="DP47" s="143"/>
      <c r="DQ47" s="143"/>
      <c r="DR47" s="143"/>
      <c r="DS47" s="143"/>
      <c r="DT47" s="143"/>
      <c r="DU47" s="143"/>
      <c r="DV47" s="143"/>
      <c r="DW47" s="143"/>
      <c r="DX47" s="143"/>
      <c r="DY47" s="143"/>
      <c r="DZ47" s="143"/>
      <c r="EA47" s="143"/>
      <c r="EB47" s="143"/>
      <c r="EC47" s="143"/>
      <c r="ED47" s="143"/>
      <c r="EE47" s="143"/>
      <c r="EF47" s="143"/>
      <c r="EG47" s="143"/>
      <c r="EH47" s="143"/>
      <c r="EI47" s="143"/>
      <c r="EJ47" s="143"/>
      <c r="EK47" s="143"/>
      <c r="EL47" s="143"/>
      <c r="EM47" s="143"/>
      <c r="EN47" s="143"/>
      <c r="EO47" s="143"/>
      <c r="EP47" s="143"/>
      <c r="EQ47" s="143"/>
      <c r="ER47" s="143"/>
      <c r="ES47" s="143"/>
      <c r="ET47" s="143"/>
      <c r="EU47" s="143"/>
      <c r="EV47" s="143"/>
      <c r="EW47" s="143"/>
      <c r="EX47" s="143"/>
      <c r="EY47" s="143"/>
      <c r="EZ47" s="143"/>
      <c r="FA47" s="143"/>
      <c r="FB47" s="143"/>
      <c r="FC47" s="143"/>
      <c r="FD47" s="143"/>
      <c r="FE47" s="143"/>
      <c r="FF47" s="143"/>
      <c r="FG47" s="143"/>
      <c r="FH47" s="143"/>
      <c r="FI47" s="143"/>
      <c r="FJ47" s="143"/>
      <c r="FK47" s="143"/>
      <c r="FL47" s="143"/>
      <c r="FM47" s="143"/>
      <c r="FN47" s="143"/>
      <c r="FO47" s="143"/>
      <c r="FP47" s="143"/>
      <c r="FQ47" s="143"/>
      <c r="FR47" s="143"/>
      <c r="FS47" s="143"/>
      <c r="FT47" s="143"/>
      <c r="FU47" s="143"/>
      <c r="FV47" s="143"/>
      <c r="FW47" s="143"/>
      <c r="FX47" s="143"/>
      <c r="FY47" s="143"/>
      <c r="FZ47" s="143"/>
      <c r="GA47" s="143"/>
      <c r="GB47" s="143"/>
      <c r="GC47" s="143"/>
      <c r="GD47" s="143"/>
      <c r="GE47" s="143"/>
      <c r="GF47" s="143"/>
      <c r="GG47" s="143"/>
      <c r="GH47" s="143"/>
      <c r="GI47" s="143"/>
      <c r="GJ47" s="143"/>
      <c r="GK47" s="143"/>
      <c r="GL47" s="143"/>
      <c r="GM47" s="143"/>
      <c r="GN47" s="143"/>
      <c r="GO47" s="143"/>
      <c r="GP47" s="143"/>
      <c r="GQ47" s="143"/>
      <c r="GR47" s="143"/>
      <c r="GS47" s="143"/>
      <c r="GT47" s="143"/>
      <c r="GU47" s="143"/>
      <c r="GV47" s="143"/>
      <c r="GW47" s="143"/>
      <c r="GX47" s="143"/>
      <c r="GY47" s="143"/>
      <c r="GZ47" s="143"/>
      <c r="HA47" s="143"/>
      <c r="HB47" s="143"/>
      <c r="HC47" s="143"/>
      <c r="HD47" s="143"/>
      <c r="HE47" s="143"/>
      <c r="HF47" s="143"/>
      <c r="HG47" s="143"/>
      <c r="HH47" s="143"/>
      <c r="HI47" s="143"/>
      <c r="HJ47" s="143"/>
      <c r="HK47" s="143"/>
      <c r="HL47" s="143"/>
      <c r="HM47" s="143"/>
      <c r="HN47" s="143"/>
      <c r="HO47" s="143"/>
      <c r="HP47" s="143"/>
      <c r="HQ47" s="143"/>
      <c r="HR47" s="143"/>
      <c r="HS47" s="143"/>
      <c r="HT47" s="143"/>
      <c r="HU47" s="143"/>
      <c r="HV47" s="143"/>
      <c r="HW47" s="143"/>
      <c r="HX47" s="143"/>
      <c r="HY47" s="143"/>
      <c r="HZ47" s="143"/>
      <c r="IA47" s="143"/>
      <c r="IB47" s="143"/>
      <c r="IC47" s="143"/>
      <c r="ID47" s="143"/>
      <c r="IE47" s="143"/>
      <c r="IF47" s="143"/>
      <c r="IG47" s="143"/>
      <c r="IH47" s="143"/>
      <c r="II47" s="143"/>
      <c r="IJ47" s="143"/>
      <c r="IK47" s="143"/>
      <c r="IL47" s="143"/>
      <c r="IM47" s="143"/>
      <c r="IN47" s="143"/>
      <c r="IO47" s="143"/>
      <c r="IP47" s="143"/>
      <c r="IQ47" s="143"/>
      <c r="IR47" s="143"/>
      <c r="IS47" s="143"/>
      <c r="IT47" s="143"/>
      <c r="IU47" s="143"/>
      <c r="IV47" s="143"/>
      <c r="IW47" s="143"/>
    </row>
    <row r="48" spans="1:257" ht="12" customHeight="1" x14ac:dyDescent="0.25">
      <c r="A48" s="143"/>
      <c r="B48" s="143"/>
      <c r="C48" s="143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2"/>
      <c r="O48" s="142"/>
      <c r="P48" s="142"/>
      <c r="Q48" s="142"/>
      <c r="R48" s="142"/>
      <c r="S48" s="142"/>
      <c r="T48" s="142"/>
      <c r="U48" s="142"/>
      <c r="V48" s="142"/>
      <c r="W48" s="142"/>
      <c r="X48" s="142"/>
      <c r="Y48" s="142"/>
      <c r="Z48" s="142"/>
      <c r="AA48" s="142"/>
      <c r="AB48" s="142"/>
      <c r="AC48" s="142"/>
      <c r="AD48" s="142"/>
      <c r="AE48" s="142"/>
      <c r="AF48" s="142"/>
      <c r="AG48" s="142"/>
      <c r="AH48" s="142"/>
      <c r="AI48" s="142"/>
      <c r="AJ48" s="142"/>
      <c r="AK48" s="143"/>
      <c r="AL48" s="143"/>
      <c r="AM48" s="143"/>
      <c r="AN48" s="143"/>
      <c r="AO48" s="143"/>
      <c r="AP48" s="143"/>
      <c r="AQ48" s="143"/>
      <c r="AR48" s="143"/>
      <c r="AS48" s="143"/>
      <c r="AT48" s="143"/>
      <c r="AU48" s="143"/>
      <c r="AV48" s="143"/>
      <c r="AW48" s="143"/>
      <c r="AX48" s="143"/>
      <c r="AY48" s="143"/>
      <c r="AZ48" s="143"/>
      <c r="BA48" s="143"/>
      <c r="BB48" s="143"/>
      <c r="BC48" s="143"/>
      <c r="BD48" s="143"/>
      <c r="BE48" s="143"/>
      <c r="BF48" s="143"/>
      <c r="BG48" s="143"/>
      <c r="BH48" s="143"/>
      <c r="BI48" s="143"/>
      <c r="BJ48" s="143"/>
      <c r="BK48" s="143"/>
      <c r="BL48" s="143"/>
      <c r="BM48" s="143"/>
      <c r="BN48" s="143"/>
      <c r="BO48" s="143"/>
      <c r="BP48" s="143"/>
      <c r="BQ48" s="143"/>
      <c r="BR48" s="143"/>
      <c r="BS48" s="143"/>
      <c r="BT48" s="143"/>
      <c r="BU48" s="143"/>
      <c r="BV48" s="143"/>
      <c r="BW48" s="143"/>
      <c r="BX48" s="143"/>
      <c r="BY48" s="143"/>
      <c r="BZ48" s="143"/>
      <c r="CA48" s="143"/>
      <c r="CB48" s="143"/>
      <c r="CC48" s="143"/>
      <c r="CD48" s="143"/>
      <c r="CE48" s="143"/>
      <c r="CF48" s="143"/>
      <c r="CG48" s="143"/>
      <c r="CH48" s="143"/>
      <c r="CI48" s="143"/>
      <c r="CJ48" s="143"/>
      <c r="CK48" s="143"/>
      <c r="CL48" s="143"/>
      <c r="CM48" s="143"/>
      <c r="CN48" s="143"/>
      <c r="CO48" s="143"/>
      <c r="CP48" s="143"/>
      <c r="CQ48" s="143"/>
      <c r="CR48" s="143"/>
      <c r="CS48" s="143"/>
      <c r="CT48" s="143"/>
      <c r="CU48" s="143"/>
      <c r="CV48" s="143"/>
      <c r="CW48" s="143"/>
      <c r="CX48" s="143"/>
      <c r="CY48" s="143"/>
      <c r="CZ48" s="143"/>
      <c r="DA48" s="143"/>
      <c r="DB48" s="143"/>
      <c r="DC48" s="143"/>
      <c r="DD48" s="143"/>
      <c r="DE48" s="143"/>
      <c r="DF48" s="143"/>
      <c r="DG48" s="143"/>
      <c r="DH48" s="143"/>
      <c r="DI48" s="143"/>
      <c r="DJ48" s="143"/>
      <c r="DK48" s="143"/>
      <c r="DL48" s="143"/>
      <c r="DM48" s="143"/>
      <c r="DN48" s="143"/>
      <c r="DO48" s="143"/>
      <c r="DP48" s="143"/>
      <c r="DQ48" s="143"/>
      <c r="DR48" s="143"/>
      <c r="DS48" s="143"/>
      <c r="DT48" s="143"/>
      <c r="DU48" s="143"/>
      <c r="DV48" s="143"/>
      <c r="DW48" s="143"/>
      <c r="DX48" s="143"/>
      <c r="DY48" s="143"/>
      <c r="DZ48" s="143"/>
      <c r="EA48" s="143"/>
      <c r="EB48" s="143"/>
      <c r="EC48" s="143"/>
      <c r="ED48" s="143"/>
      <c r="EE48" s="143"/>
      <c r="EF48" s="143"/>
      <c r="EG48" s="143"/>
      <c r="EH48" s="143"/>
      <c r="EI48" s="143"/>
      <c r="EJ48" s="143"/>
      <c r="EK48" s="143"/>
      <c r="EL48" s="143"/>
      <c r="EM48" s="143"/>
      <c r="EN48" s="143"/>
      <c r="EO48" s="143"/>
      <c r="EP48" s="143"/>
      <c r="EQ48" s="143"/>
      <c r="ER48" s="143"/>
      <c r="ES48" s="143"/>
      <c r="ET48" s="143"/>
      <c r="EU48" s="143"/>
      <c r="EV48" s="143"/>
      <c r="EW48" s="143"/>
      <c r="EX48" s="143"/>
      <c r="EY48" s="143"/>
      <c r="EZ48" s="143"/>
      <c r="FA48" s="143"/>
      <c r="FB48" s="143"/>
      <c r="FC48" s="143"/>
      <c r="FD48" s="143"/>
      <c r="FE48" s="143"/>
      <c r="FF48" s="143"/>
      <c r="FG48" s="143"/>
      <c r="FH48" s="143"/>
      <c r="FI48" s="143"/>
      <c r="FJ48" s="143"/>
      <c r="FK48" s="143"/>
      <c r="FL48" s="143"/>
      <c r="FM48" s="143"/>
      <c r="FN48" s="143"/>
      <c r="FO48" s="143"/>
      <c r="FP48" s="143"/>
      <c r="FQ48" s="143"/>
      <c r="FR48" s="143"/>
      <c r="FS48" s="143"/>
      <c r="FT48" s="143"/>
      <c r="FU48" s="143"/>
      <c r="FV48" s="143"/>
      <c r="FW48" s="143"/>
      <c r="FX48" s="143"/>
      <c r="FY48" s="143"/>
      <c r="FZ48" s="143"/>
      <c r="GA48" s="143"/>
      <c r="GB48" s="143"/>
      <c r="GC48" s="143"/>
      <c r="GD48" s="143"/>
      <c r="GE48" s="143"/>
      <c r="GF48" s="143"/>
      <c r="GG48" s="143"/>
      <c r="GH48" s="143"/>
      <c r="GI48" s="143"/>
      <c r="GJ48" s="143"/>
      <c r="GK48" s="143"/>
      <c r="GL48" s="143"/>
      <c r="GM48" s="143"/>
      <c r="GN48" s="143"/>
      <c r="GO48" s="143"/>
      <c r="GP48" s="143"/>
      <c r="GQ48" s="143"/>
      <c r="GR48" s="143"/>
      <c r="GS48" s="143"/>
      <c r="GT48" s="143"/>
      <c r="GU48" s="143"/>
      <c r="GV48" s="143"/>
      <c r="GW48" s="143"/>
      <c r="GX48" s="143"/>
      <c r="GY48" s="143"/>
      <c r="GZ48" s="143"/>
      <c r="HA48" s="143"/>
      <c r="HB48" s="143"/>
      <c r="HC48" s="143"/>
      <c r="HD48" s="143"/>
      <c r="HE48" s="143"/>
      <c r="HF48" s="143"/>
      <c r="HG48" s="143"/>
      <c r="HH48" s="143"/>
      <c r="HI48" s="143"/>
      <c r="HJ48" s="143"/>
      <c r="HK48" s="143"/>
      <c r="HL48" s="143"/>
      <c r="HM48" s="143"/>
      <c r="HN48" s="143"/>
      <c r="HO48" s="143"/>
      <c r="HP48" s="143"/>
      <c r="HQ48" s="143"/>
      <c r="HR48" s="143"/>
      <c r="HS48" s="143"/>
      <c r="HT48" s="143"/>
      <c r="HU48" s="143"/>
      <c r="HV48" s="143"/>
      <c r="HW48" s="143"/>
      <c r="HX48" s="143"/>
      <c r="HY48" s="143"/>
      <c r="HZ48" s="143"/>
      <c r="IA48" s="143"/>
      <c r="IB48" s="143"/>
      <c r="IC48" s="143"/>
      <c r="ID48" s="143"/>
      <c r="IE48" s="143"/>
      <c r="IF48" s="143"/>
      <c r="IG48" s="143"/>
      <c r="IH48" s="143"/>
      <c r="II48" s="143"/>
      <c r="IJ48" s="143"/>
      <c r="IK48" s="143"/>
      <c r="IL48" s="143"/>
      <c r="IM48" s="143"/>
      <c r="IN48" s="143"/>
      <c r="IO48" s="143"/>
      <c r="IP48" s="143"/>
      <c r="IQ48" s="143"/>
      <c r="IR48" s="143"/>
      <c r="IS48" s="143"/>
      <c r="IT48" s="143"/>
      <c r="IU48" s="143"/>
      <c r="IV48" s="143"/>
      <c r="IW48" s="143"/>
    </row>
    <row r="49" spans="1:257" ht="12" customHeight="1" x14ac:dyDescent="0.25">
      <c r="A49" s="114" t="s">
        <v>215</v>
      </c>
      <c r="B49" s="143"/>
      <c r="C49" s="143"/>
      <c r="D49" s="143"/>
      <c r="E49" s="143"/>
      <c r="F49" s="145"/>
      <c r="G49" s="145"/>
      <c r="H49" s="145"/>
      <c r="I49" s="145"/>
      <c r="J49" s="145"/>
      <c r="K49" s="143"/>
      <c r="L49" s="143"/>
      <c r="M49" s="143"/>
      <c r="N49" s="143"/>
      <c r="O49" s="143"/>
      <c r="P49" s="143"/>
      <c r="Q49" s="143"/>
      <c r="R49" s="143"/>
      <c r="S49" s="143"/>
      <c r="T49" s="143"/>
      <c r="U49" s="143"/>
      <c r="V49" s="143"/>
      <c r="W49" s="143"/>
      <c r="X49" s="143"/>
      <c r="Y49" s="143"/>
      <c r="Z49" s="143"/>
      <c r="AA49" s="143"/>
      <c r="AB49" s="143"/>
      <c r="AC49" s="143"/>
      <c r="AD49" s="143"/>
      <c r="AE49" s="143"/>
      <c r="AF49" s="143"/>
      <c r="AG49" s="143"/>
      <c r="AH49" s="143"/>
      <c r="AI49" s="143"/>
      <c r="AJ49" s="143"/>
      <c r="AK49" s="143"/>
      <c r="AL49" s="143"/>
      <c r="AM49" s="143"/>
      <c r="AN49" s="143"/>
      <c r="AO49" s="143"/>
      <c r="AP49" s="143"/>
      <c r="AQ49" s="143"/>
      <c r="AR49" s="143"/>
      <c r="AS49" s="143"/>
      <c r="AT49" s="143"/>
      <c r="AU49" s="143"/>
      <c r="AV49" s="143"/>
      <c r="AW49" s="143"/>
      <c r="AX49" s="143"/>
      <c r="AY49" s="143"/>
      <c r="AZ49" s="143"/>
      <c r="BA49" s="143"/>
      <c r="BB49" s="143"/>
      <c r="BC49" s="143"/>
      <c r="BD49" s="143"/>
      <c r="BE49" s="143"/>
      <c r="BF49" s="143"/>
      <c r="BG49" s="143"/>
      <c r="BH49" s="143"/>
      <c r="BI49" s="143"/>
      <c r="BJ49" s="143"/>
      <c r="BK49" s="143"/>
      <c r="BL49" s="143"/>
      <c r="BM49" s="143"/>
      <c r="BN49" s="143"/>
      <c r="BO49" s="143"/>
      <c r="BP49" s="143"/>
      <c r="BQ49" s="143"/>
      <c r="BR49" s="143"/>
      <c r="BS49" s="143"/>
      <c r="BT49" s="143"/>
      <c r="BU49" s="143"/>
      <c r="BV49" s="143"/>
      <c r="BW49" s="143"/>
      <c r="BX49" s="143"/>
      <c r="BY49" s="143"/>
      <c r="BZ49" s="143"/>
      <c r="CA49" s="143"/>
      <c r="CB49" s="143"/>
      <c r="CC49" s="143"/>
      <c r="CD49" s="143"/>
      <c r="CE49" s="143"/>
      <c r="CF49" s="143"/>
      <c r="CG49" s="143"/>
      <c r="CH49" s="143"/>
      <c r="CI49" s="143"/>
      <c r="CJ49" s="143"/>
      <c r="CK49" s="143"/>
      <c r="CL49" s="143"/>
      <c r="CM49" s="143"/>
      <c r="CN49" s="143"/>
      <c r="CO49" s="143"/>
      <c r="CP49" s="143"/>
      <c r="CQ49" s="143"/>
      <c r="CR49" s="143"/>
      <c r="CS49" s="143"/>
      <c r="CT49" s="143"/>
      <c r="CU49" s="143"/>
      <c r="CV49" s="143"/>
      <c r="CW49" s="143"/>
      <c r="CX49" s="143"/>
      <c r="CY49" s="143"/>
      <c r="CZ49" s="143"/>
      <c r="DA49" s="143"/>
      <c r="DB49" s="143"/>
      <c r="DC49" s="143"/>
      <c r="DD49" s="143"/>
      <c r="DE49" s="143"/>
      <c r="DF49" s="143"/>
      <c r="DG49" s="143"/>
      <c r="DH49" s="143"/>
      <c r="DI49" s="143"/>
      <c r="DJ49" s="143"/>
      <c r="DK49" s="143"/>
      <c r="DL49" s="143"/>
      <c r="DM49" s="143"/>
      <c r="DN49" s="143"/>
      <c r="DO49" s="143"/>
      <c r="DP49" s="143"/>
      <c r="DQ49" s="143"/>
      <c r="DR49" s="143"/>
      <c r="DS49" s="143"/>
      <c r="DT49" s="143"/>
      <c r="DU49" s="143"/>
      <c r="DV49" s="143"/>
      <c r="DW49" s="143"/>
      <c r="DX49" s="143"/>
      <c r="DY49" s="143"/>
      <c r="DZ49" s="143"/>
      <c r="EA49" s="143"/>
      <c r="EB49" s="143"/>
      <c r="EC49" s="143"/>
      <c r="ED49" s="143"/>
      <c r="EE49" s="143"/>
      <c r="EF49" s="143"/>
      <c r="EG49" s="143"/>
      <c r="EH49" s="143"/>
      <c r="EI49" s="143"/>
      <c r="EJ49" s="143"/>
      <c r="EK49" s="143"/>
      <c r="EL49" s="143"/>
      <c r="EM49" s="143"/>
      <c r="EN49" s="143"/>
      <c r="EO49" s="143"/>
      <c r="EP49" s="143"/>
      <c r="EQ49" s="143"/>
      <c r="ER49" s="143"/>
      <c r="ES49" s="143"/>
      <c r="ET49" s="143"/>
      <c r="EU49" s="143"/>
      <c r="EV49" s="143"/>
      <c r="EW49" s="143"/>
      <c r="EX49" s="143"/>
      <c r="EY49" s="143"/>
      <c r="EZ49" s="143"/>
      <c r="FA49" s="143"/>
      <c r="FB49" s="143"/>
      <c r="FC49" s="143"/>
      <c r="FD49" s="143"/>
      <c r="FE49" s="143"/>
      <c r="FF49" s="143"/>
      <c r="FG49" s="143"/>
      <c r="FH49" s="143"/>
      <c r="FI49" s="143"/>
      <c r="FJ49" s="143"/>
      <c r="FK49" s="143"/>
      <c r="FL49" s="143"/>
      <c r="FM49" s="143"/>
      <c r="FN49" s="143"/>
      <c r="FO49" s="143"/>
      <c r="FP49" s="143"/>
      <c r="FQ49" s="143"/>
      <c r="FR49" s="143"/>
      <c r="FS49" s="143"/>
      <c r="FT49" s="143"/>
      <c r="FU49" s="143"/>
      <c r="FV49" s="143"/>
      <c r="FW49" s="143"/>
      <c r="FX49" s="143"/>
      <c r="FY49" s="143"/>
      <c r="FZ49" s="143"/>
      <c r="GA49" s="143"/>
      <c r="GB49" s="143"/>
      <c r="GC49" s="143"/>
      <c r="GD49" s="143"/>
      <c r="GE49" s="143"/>
      <c r="GF49" s="143"/>
      <c r="GG49" s="143"/>
      <c r="GH49" s="143"/>
      <c r="GI49" s="143"/>
      <c r="GJ49" s="143"/>
      <c r="GK49" s="143"/>
      <c r="GL49" s="143"/>
      <c r="GM49" s="143"/>
      <c r="GN49" s="143"/>
      <c r="GO49" s="143"/>
      <c r="GP49" s="143"/>
      <c r="GQ49" s="143"/>
      <c r="GR49" s="143"/>
      <c r="GS49" s="143"/>
      <c r="GT49" s="143"/>
      <c r="GU49" s="143"/>
      <c r="GV49" s="143"/>
      <c r="GW49" s="143"/>
      <c r="GX49" s="143"/>
      <c r="GY49" s="143"/>
      <c r="GZ49" s="143"/>
      <c r="HA49" s="143"/>
      <c r="HB49" s="143"/>
      <c r="HC49" s="143"/>
      <c r="HD49" s="143"/>
      <c r="HE49" s="143"/>
      <c r="HF49" s="143"/>
      <c r="HG49" s="143"/>
      <c r="HH49" s="143"/>
      <c r="HI49" s="143"/>
      <c r="HJ49" s="143"/>
      <c r="HK49" s="143"/>
      <c r="HL49" s="143"/>
      <c r="HM49" s="143"/>
      <c r="HN49" s="143"/>
      <c r="HO49" s="143"/>
      <c r="HP49" s="143"/>
      <c r="HQ49" s="143"/>
      <c r="HR49" s="143"/>
      <c r="HS49" s="143"/>
      <c r="HT49" s="143"/>
      <c r="HU49" s="143"/>
      <c r="HV49" s="143"/>
      <c r="HW49" s="143"/>
      <c r="HX49" s="143"/>
      <c r="HY49" s="143"/>
      <c r="HZ49" s="143"/>
      <c r="IA49" s="143"/>
      <c r="IB49" s="143"/>
      <c r="IC49" s="143"/>
      <c r="ID49" s="143"/>
      <c r="IE49" s="143"/>
      <c r="IF49" s="143"/>
      <c r="IG49" s="143"/>
      <c r="IH49" s="143"/>
      <c r="II49" s="143"/>
      <c r="IJ49" s="143"/>
      <c r="IK49" s="143"/>
      <c r="IL49" s="143"/>
      <c r="IM49" s="143"/>
      <c r="IN49" s="143"/>
      <c r="IO49" s="143"/>
      <c r="IP49" s="143"/>
      <c r="IQ49" s="143"/>
      <c r="IR49" s="143"/>
      <c r="IS49" s="143"/>
      <c r="IT49" s="143"/>
      <c r="IU49" s="143"/>
      <c r="IV49" s="143"/>
      <c r="IW49" s="143"/>
    </row>
    <row r="50" spans="1:257" ht="12" customHeight="1" x14ac:dyDescent="0.25">
      <c r="A50" s="114"/>
      <c r="B50" s="136"/>
      <c r="C50" s="136"/>
      <c r="D50" s="136"/>
      <c r="E50" s="136"/>
      <c r="F50" s="146"/>
      <c r="G50" s="146"/>
      <c r="H50" s="146"/>
      <c r="I50" s="146"/>
      <c r="J50" s="146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36"/>
      <c r="AK50" s="136"/>
      <c r="AL50" s="136"/>
      <c r="AM50" s="136"/>
      <c r="AN50" s="136"/>
      <c r="AO50" s="136"/>
      <c r="AP50" s="136"/>
      <c r="AQ50" s="136"/>
      <c r="AR50" s="136"/>
      <c r="AS50" s="136"/>
      <c r="AT50" s="136"/>
      <c r="AU50" s="136"/>
      <c r="AV50" s="136"/>
      <c r="AW50" s="136"/>
      <c r="AX50" s="136"/>
      <c r="AY50" s="136"/>
      <c r="AZ50" s="136"/>
      <c r="BA50" s="136"/>
      <c r="BB50" s="136"/>
      <c r="BC50" s="136"/>
      <c r="BD50" s="136"/>
      <c r="BE50" s="136"/>
      <c r="BF50" s="136"/>
      <c r="BG50" s="136"/>
      <c r="BH50" s="136"/>
      <c r="BI50" s="136"/>
      <c r="BJ50" s="136"/>
      <c r="BK50" s="136"/>
      <c r="BL50" s="136"/>
      <c r="BM50" s="136"/>
      <c r="BN50" s="136"/>
      <c r="BO50" s="136"/>
      <c r="BP50" s="136"/>
      <c r="BQ50" s="136"/>
      <c r="BR50" s="136"/>
      <c r="BS50" s="136"/>
      <c r="BT50" s="136"/>
      <c r="BU50" s="136"/>
      <c r="BV50" s="136"/>
      <c r="BW50" s="136"/>
      <c r="BX50" s="136"/>
      <c r="BY50" s="136"/>
      <c r="BZ50" s="136"/>
      <c r="CA50" s="136"/>
      <c r="CB50" s="136"/>
      <c r="CC50" s="136"/>
      <c r="CD50" s="136"/>
      <c r="CE50" s="136"/>
      <c r="CF50" s="136"/>
      <c r="CG50" s="136"/>
      <c r="CH50" s="136"/>
      <c r="CI50" s="136"/>
      <c r="CJ50" s="136"/>
      <c r="CK50" s="136"/>
      <c r="CL50" s="136"/>
      <c r="CM50" s="136"/>
      <c r="CN50" s="136"/>
      <c r="CO50" s="136"/>
      <c r="CP50" s="136"/>
      <c r="CQ50" s="136"/>
      <c r="CR50" s="136"/>
      <c r="CS50" s="136"/>
      <c r="CT50" s="136"/>
      <c r="CU50" s="136"/>
      <c r="CV50" s="136"/>
      <c r="CW50" s="136"/>
      <c r="CX50" s="136"/>
      <c r="CY50" s="136"/>
      <c r="CZ50" s="136"/>
      <c r="DA50" s="136"/>
      <c r="DB50" s="136"/>
      <c r="DC50" s="136"/>
      <c r="DD50" s="136"/>
      <c r="DE50" s="136"/>
      <c r="DF50" s="136"/>
      <c r="DG50" s="136"/>
      <c r="DH50" s="136"/>
      <c r="DI50" s="136"/>
      <c r="DJ50" s="136"/>
      <c r="DK50" s="136"/>
      <c r="DL50" s="136"/>
      <c r="DM50" s="136"/>
      <c r="DN50" s="136"/>
      <c r="DO50" s="136"/>
      <c r="DP50" s="136"/>
      <c r="DQ50" s="136"/>
      <c r="DR50" s="136"/>
      <c r="DS50" s="136"/>
      <c r="DT50" s="136"/>
      <c r="DU50" s="136"/>
      <c r="DV50" s="136"/>
      <c r="DW50" s="136"/>
      <c r="DX50" s="136"/>
      <c r="DY50" s="136"/>
      <c r="DZ50" s="136"/>
      <c r="EA50" s="136"/>
      <c r="EB50" s="136"/>
      <c r="EC50" s="136"/>
      <c r="ED50" s="136"/>
      <c r="EE50" s="136"/>
      <c r="EF50" s="136"/>
      <c r="EG50" s="136"/>
      <c r="EH50" s="136"/>
      <c r="EI50" s="136"/>
      <c r="EJ50" s="136"/>
      <c r="EK50" s="136"/>
      <c r="EL50" s="136"/>
      <c r="EM50" s="136"/>
      <c r="EN50" s="136"/>
      <c r="EO50" s="136"/>
      <c r="EP50" s="136"/>
      <c r="EQ50" s="136"/>
      <c r="ER50" s="136"/>
      <c r="ES50" s="136"/>
      <c r="ET50" s="136"/>
      <c r="EU50" s="136"/>
      <c r="EV50" s="136"/>
      <c r="EW50" s="136"/>
      <c r="EX50" s="136"/>
      <c r="EY50" s="136"/>
      <c r="EZ50" s="136"/>
      <c r="FA50" s="136"/>
      <c r="FB50" s="136"/>
      <c r="FC50" s="136"/>
      <c r="FD50" s="136"/>
      <c r="FE50" s="136"/>
      <c r="FF50" s="136"/>
      <c r="FG50" s="136"/>
      <c r="FH50" s="136"/>
      <c r="FI50" s="136"/>
      <c r="FJ50" s="136"/>
      <c r="FK50" s="136"/>
      <c r="FL50" s="136"/>
      <c r="FM50" s="136"/>
      <c r="FN50" s="136"/>
      <c r="FO50" s="136"/>
      <c r="FP50" s="136"/>
      <c r="FQ50" s="136"/>
      <c r="FR50" s="136"/>
      <c r="FS50" s="136"/>
      <c r="FT50" s="136"/>
      <c r="FU50" s="136"/>
      <c r="FV50" s="136"/>
      <c r="FW50" s="136"/>
      <c r="FX50" s="136"/>
      <c r="FY50" s="136"/>
      <c r="FZ50" s="136"/>
      <c r="GA50" s="136"/>
      <c r="GB50" s="136"/>
      <c r="GC50" s="136"/>
      <c r="GD50" s="136"/>
      <c r="GE50" s="136"/>
      <c r="GF50" s="136"/>
      <c r="GG50" s="136"/>
      <c r="GH50" s="136"/>
      <c r="GI50" s="136"/>
      <c r="GJ50" s="136"/>
      <c r="GK50" s="136"/>
      <c r="GL50" s="136"/>
      <c r="GM50" s="136"/>
      <c r="GN50" s="136"/>
      <c r="GO50" s="136"/>
      <c r="GP50" s="136"/>
      <c r="GQ50" s="136"/>
      <c r="GR50" s="136"/>
      <c r="GS50" s="136"/>
      <c r="GT50" s="136"/>
      <c r="GU50" s="136"/>
      <c r="GV50" s="136"/>
      <c r="GW50" s="136"/>
      <c r="GX50" s="136"/>
      <c r="GY50" s="136"/>
      <c r="GZ50" s="136"/>
      <c r="HA50" s="136"/>
      <c r="HB50" s="136"/>
      <c r="HC50" s="136"/>
      <c r="HD50" s="136"/>
      <c r="HE50" s="136"/>
      <c r="HF50" s="136"/>
      <c r="HG50" s="136"/>
      <c r="HH50" s="136"/>
      <c r="HI50" s="136"/>
      <c r="HJ50" s="136"/>
      <c r="HK50" s="136"/>
      <c r="HL50" s="136"/>
      <c r="HM50" s="136"/>
      <c r="HN50" s="136"/>
      <c r="HO50" s="136"/>
      <c r="HP50" s="136"/>
      <c r="HQ50" s="136"/>
      <c r="HR50" s="136"/>
      <c r="HS50" s="136"/>
      <c r="HT50" s="136"/>
      <c r="HU50" s="136"/>
      <c r="HV50" s="136"/>
      <c r="HW50" s="136"/>
      <c r="HX50" s="136"/>
      <c r="HY50" s="136"/>
      <c r="HZ50" s="136"/>
      <c r="IA50" s="136"/>
      <c r="IB50" s="136"/>
      <c r="IC50" s="136"/>
      <c r="ID50" s="136"/>
      <c r="IE50" s="136"/>
      <c r="IF50" s="136"/>
      <c r="IG50" s="136"/>
      <c r="IH50" s="136"/>
      <c r="II50" s="136"/>
      <c r="IJ50" s="136"/>
      <c r="IK50" s="136"/>
      <c r="IL50" s="136"/>
      <c r="IM50" s="136"/>
      <c r="IN50" s="136"/>
      <c r="IO50" s="136"/>
      <c r="IP50" s="136"/>
      <c r="IQ50" s="136"/>
      <c r="IR50" s="136"/>
      <c r="IS50" s="136"/>
      <c r="IT50" s="136"/>
      <c r="IU50" s="136"/>
      <c r="IV50" s="136"/>
      <c r="IW50" s="136"/>
    </row>
    <row r="51" spans="1:257" ht="38.25" customHeight="1" x14ac:dyDescent="0.25">
      <c r="A51" s="123" t="s">
        <v>216</v>
      </c>
      <c r="B51" s="123"/>
      <c r="C51" s="123"/>
      <c r="D51" s="123"/>
      <c r="E51" s="123"/>
      <c r="F51" s="123"/>
      <c r="G51" s="123"/>
      <c r="H51" s="123"/>
      <c r="I51" s="123"/>
      <c r="J51" s="123"/>
      <c r="K51" s="123"/>
      <c r="L51" s="123"/>
      <c r="M51" s="123"/>
      <c r="N51" s="123"/>
      <c r="O51" s="123"/>
      <c r="P51" s="123"/>
      <c r="Q51" s="123"/>
      <c r="R51" s="123"/>
      <c r="S51" s="123"/>
      <c r="T51" s="123"/>
      <c r="U51" s="123"/>
      <c r="V51" s="123"/>
      <c r="W51" s="123"/>
      <c r="X51" s="123"/>
      <c r="Y51" s="123"/>
      <c r="Z51" s="123"/>
      <c r="AA51" s="123"/>
      <c r="AB51" s="123"/>
      <c r="AC51" s="123"/>
      <c r="AD51" s="123"/>
      <c r="AE51" s="123"/>
      <c r="AF51" s="123"/>
      <c r="AG51" s="123"/>
      <c r="AH51" s="123"/>
      <c r="AI51" s="123"/>
      <c r="AJ51" s="123"/>
      <c r="AK51" s="143"/>
      <c r="AL51" s="143"/>
      <c r="AM51" s="143"/>
      <c r="AN51" s="143"/>
      <c r="AO51" s="143"/>
      <c r="AP51" s="143"/>
      <c r="AQ51" s="143"/>
      <c r="AR51" s="143"/>
      <c r="AS51" s="143"/>
      <c r="AT51" s="143"/>
      <c r="AU51" s="143"/>
      <c r="AV51" s="143"/>
      <c r="AW51" s="143"/>
      <c r="AX51" s="143"/>
      <c r="AY51" s="143"/>
      <c r="AZ51" s="143"/>
      <c r="BA51" s="143"/>
      <c r="BB51" s="143"/>
      <c r="BC51" s="143"/>
      <c r="BD51" s="143"/>
      <c r="BE51" s="143"/>
      <c r="BF51" s="143"/>
      <c r="BG51" s="143"/>
      <c r="BH51" s="143"/>
      <c r="BI51" s="143"/>
      <c r="BJ51" s="143"/>
      <c r="BK51" s="143"/>
      <c r="BL51" s="143"/>
      <c r="BM51" s="143"/>
      <c r="BN51" s="143"/>
      <c r="BO51" s="143"/>
      <c r="BP51" s="143"/>
      <c r="BQ51" s="143"/>
      <c r="BR51" s="143"/>
      <c r="BS51" s="143"/>
      <c r="BT51" s="143"/>
      <c r="BU51" s="143"/>
      <c r="BV51" s="143"/>
      <c r="BW51" s="143"/>
      <c r="BX51" s="143"/>
      <c r="BY51" s="143"/>
      <c r="BZ51" s="143"/>
      <c r="CA51" s="143"/>
      <c r="CB51" s="143"/>
      <c r="CC51" s="143"/>
      <c r="CD51" s="143"/>
      <c r="CE51" s="143"/>
      <c r="CF51" s="143"/>
      <c r="CG51" s="143"/>
      <c r="CH51" s="143"/>
      <c r="CI51" s="143"/>
      <c r="CJ51" s="143"/>
      <c r="CK51" s="143"/>
      <c r="CL51" s="143"/>
      <c r="CM51" s="143"/>
      <c r="CN51" s="143"/>
      <c r="CO51" s="143"/>
      <c r="CP51" s="143"/>
      <c r="CQ51" s="143"/>
      <c r="CR51" s="143"/>
      <c r="CS51" s="143"/>
      <c r="CT51" s="143"/>
      <c r="CU51" s="143"/>
      <c r="CV51" s="143"/>
      <c r="CW51" s="143"/>
      <c r="CX51" s="143"/>
      <c r="CY51" s="143"/>
      <c r="CZ51" s="143"/>
      <c r="DA51" s="143"/>
      <c r="DB51" s="143"/>
      <c r="DC51" s="143"/>
      <c r="DD51" s="143"/>
      <c r="DE51" s="143"/>
      <c r="DF51" s="143"/>
      <c r="DG51" s="143"/>
      <c r="DH51" s="143"/>
      <c r="DI51" s="143"/>
      <c r="DJ51" s="143"/>
      <c r="DK51" s="143"/>
      <c r="DL51" s="143"/>
      <c r="DM51" s="143"/>
      <c r="DN51" s="143"/>
      <c r="DO51" s="143"/>
      <c r="DP51" s="143"/>
      <c r="DQ51" s="143"/>
      <c r="DR51" s="143"/>
      <c r="DS51" s="143"/>
      <c r="DT51" s="143"/>
      <c r="DU51" s="143"/>
      <c r="DV51" s="143"/>
      <c r="DW51" s="143"/>
      <c r="DX51" s="143"/>
      <c r="DY51" s="143"/>
      <c r="DZ51" s="143"/>
      <c r="EA51" s="143"/>
      <c r="EB51" s="143"/>
      <c r="EC51" s="143"/>
      <c r="ED51" s="143"/>
      <c r="EE51" s="143"/>
      <c r="EF51" s="143"/>
      <c r="EG51" s="143"/>
      <c r="EH51" s="143"/>
      <c r="EI51" s="143"/>
      <c r="EJ51" s="143"/>
      <c r="EK51" s="143"/>
      <c r="EL51" s="143"/>
      <c r="EM51" s="143"/>
      <c r="EN51" s="143"/>
      <c r="EO51" s="143"/>
      <c r="EP51" s="143"/>
      <c r="EQ51" s="143"/>
      <c r="ER51" s="143"/>
      <c r="ES51" s="143"/>
      <c r="ET51" s="143"/>
      <c r="EU51" s="143"/>
      <c r="EV51" s="143"/>
      <c r="EW51" s="143"/>
      <c r="EX51" s="143"/>
      <c r="EY51" s="143"/>
      <c r="EZ51" s="143"/>
      <c r="FA51" s="143"/>
      <c r="FB51" s="143"/>
      <c r="FC51" s="143"/>
      <c r="FD51" s="143"/>
      <c r="FE51" s="143"/>
      <c r="FF51" s="143"/>
      <c r="FG51" s="143"/>
      <c r="FH51" s="143"/>
      <c r="FI51" s="143"/>
      <c r="FJ51" s="143"/>
      <c r="FK51" s="143"/>
      <c r="FL51" s="143"/>
      <c r="FM51" s="143"/>
      <c r="FN51" s="143"/>
      <c r="FO51" s="143"/>
      <c r="FP51" s="143"/>
      <c r="FQ51" s="143"/>
      <c r="FR51" s="143"/>
      <c r="FS51" s="143"/>
      <c r="FT51" s="143"/>
      <c r="FU51" s="143"/>
      <c r="FV51" s="143"/>
      <c r="FW51" s="143"/>
      <c r="FX51" s="143"/>
      <c r="FY51" s="143"/>
      <c r="FZ51" s="143"/>
      <c r="GA51" s="143"/>
      <c r="GB51" s="143"/>
      <c r="GC51" s="143"/>
      <c r="GD51" s="143"/>
      <c r="GE51" s="143"/>
      <c r="GF51" s="143"/>
      <c r="GG51" s="143"/>
      <c r="GH51" s="143"/>
      <c r="GI51" s="143"/>
      <c r="GJ51" s="143"/>
      <c r="GK51" s="143"/>
      <c r="GL51" s="143"/>
      <c r="GM51" s="143"/>
      <c r="GN51" s="143"/>
      <c r="GO51" s="143"/>
      <c r="GP51" s="143"/>
      <c r="GQ51" s="143"/>
      <c r="GR51" s="143"/>
      <c r="GS51" s="143"/>
      <c r="GT51" s="143"/>
      <c r="GU51" s="143"/>
      <c r="GV51" s="143"/>
      <c r="GW51" s="143"/>
      <c r="GX51" s="143"/>
      <c r="GY51" s="143"/>
      <c r="GZ51" s="143"/>
      <c r="HA51" s="143"/>
      <c r="HB51" s="143"/>
      <c r="HC51" s="143"/>
      <c r="HD51" s="143"/>
      <c r="HE51" s="143"/>
      <c r="HF51" s="143"/>
      <c r="HG51" s="143"/>
      <c r="HH51" s="143"/>
      <c r="HI51" s="143"/>
      <c r="HJ51" s="143"/>
      <c r="HK51" s="143"/>
      <c r="HL51" s="143"/>
      <c r="HM51" s="143"/>
      <c r="HN51" s="143"/>
      <c r="HO51" s="143"/>
      <c r="HP51" s="143"/>
      <c r="HQ51" s="143"/>
      <c r="HR51" s="143"/>
      <c r="HS51" s="143"/>
      <c r="HT51" s="143"/>
      <c r="HU51" s="143"/>
      <c r="HV51" s="143"/>
      <c r="HW51" s="143"/>
      <c r="HX51" s="143"/>
      <c r="HY51" s="143"/>
      <c r="HZ51" s="143"/>
      <c r="IA51" s="143"/>
      <c r="IB51" s="143"/>
      <c r="IC51" s="143"/>
      <c r="ID51" s="143"/>
      <c r="IE51" s="143"/>
      <c r="IF51" s="143"/>
      <c r="IG51" s="143"/>
      <c r="IH51" s="143"/>
      <c r="II51" s="143"/>
      <c r="IJ51" s="143"/>
      <c r="IK51" s="143"/>
      <c r="IL51" s="143"/>
      <c r="IM51" s="143"/>
      <c r="IN51" s="143"/>
      <c r="IO51" s="143"/>
      <c r="IP51" s="143"/>
      <c r="IQ51" s="143"/>
      <c r="IR51" s="143"/>
      <c r="IS51" s="143"/>
      <c r="IT51" s="143"/>
      <c r="IU51" s="143"/>
      <c r="IV51" s="143"/>
      <c r="IW51" s="143"/>
    </row>
    <row r="52" spans="1:257" ht="52.5" customHeight="1" x14ac:dyDescent="0.25">
      <c r="A52" s="121" t="str">
        <f>CONCATENATE(A45,", ",A41)</f>
        <v>, 0</v>
      </c>
      <c r="B52" s="121"/>
      <c r="C52" s="121"/>
      <c r="D52" s="121"/>
      <c r="E52" s="121"/>
      <c r="F52" s="121"/>
      <c r="G52" s="121"/>
      <c r="H52" s="121"/>
      <c r="I52" s="121"/>
      <c r="J52" s="121"/>
      <c r="K52" s="121"/>
      <c r="L52" s="121"/>
      <c r="M52" s="121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43"/>
      <c r="AL52" s="143"/>
      <c r="AM52" s="143"/>
      <c r="AN52" s="143"/>
      <c r="AO52" s="143"/>
      <c r="AP52" s="143"/>
      <c r="AQ52" s="143"/>
      <c r="AR52" s="143"/>
      <c r="AS52" s="143"/>
      <c r="AT52" s="143"/>
      <c r="AU52" s="143"/>
      <c r="AV52" s="143"/>
      <c r="AW52" s="143"/>
      <c r="AX52" s="143"/>
      <c r="AY52" s="143"/>
      <c r="AZ52" s="143"/>
      <c r="BA52" s="143"/>
      <c r="BB52" s="143"/>
      <c r="BC52" s="143"/>
      <c r="BD52" s="143"/>
      <c r="BE52" s="143"/>
      <c r="BF52" s="143"/>
      <c r="BG52" s="143"/>
      <c r="BH52" s="143"/>
      <c r="BI52" s="143"/>
      <c r="BJ52" s="143"/>
      <c r="BK52" s="143"/>
      <c r="BL52" s="143"/>
      <c r="BM52" s="143"/>
      <c r="BN52" s="143"/>
      <c r="BO52" s="143"/>
      <c r="BP52" s="143"/>
      <c r="BQ52" s="143"/>
      <c r="BR52" s="143"/>
      <c r="BS52" s="143"/>
      <c r="BT52" s="143"/>
      <c r="BU52" s="143"/>
      <c r="BV52" s="143"/>
      <c r="BW52" s="143"/>
      <c r="BX52" s="143"/>
      <c r="BY52" s="143"/>
      <c r="BZ52" s="143"/>
      <c r="CA52" s="143"/>
      <c r="CB52" s="143"/>
      <c r="CC52" s="143"/>
      <c r="CD52" s="143"/>
      <c r="CE52" s="143"/>
      <c r="CF52" s="143"/>
      <c r="CG52" s="143"/>
      <c r="CH52" s="143"/>
      <c r="CI52" s="143"/>
      <c r="CJ52" s="143"/>
      <c r="CK52" s="143"/>
      <c r="CL52" s="143"/>
      <c r="CM52" s="143"/>
      <c r="CN52" s="143"/>
      <c r="CO52" s="143"/>
      <c r="CP52" s="143"/>
      <c r="CQ52" s="143"/>
      <c r="CR52" s="143"/>
      <c r="CS52" s="143"/>
      <c r="CT52" s="143"/>
      <c r="CU52" s="143"/>
      <c r="CV52" s="143"/>
      <c r="CW52" s="143"/>
      <c r="CX52" s="143"/>
      <c r="CY52" s="143"/>
      <c r="CZ52" s="143"/>
      <c r="DA52" s="143"/>
      <c r="DB52" s="143"/>
      <c r="DC52" s="143"/>
      <c r="DD52" s="143"/>
      <c r="DE52" s="143"/>
      <c r="DF52" s="143"/>
      <c r="DG52" s="143"/>
      <c r="DH52" s="143"/>
      <c r="DI52" s="143"/>
      <c r="DJ52" s="143"/>
      <c r="DK52" s="143"/>
      <c r="DL52" s="143"/>
      <c r="DM52" s="143"/>
      <c r="DN52" s="143"/>
      <c r="DO52" s="143"/>
      <c r="DP52" s="143"/>
      <c r="DQ52" s="143"/>
      <c r="DR52" s="143"/>
      <c r="DS52" s="143"/>
      <c r="DT52" s="143"/>
      <c r="DU52" s="143"/>
      <c r="DV52" s="143"/>
      <c r="DW52" s="143"/>
      <c r="DX52" s="143"/>
      <c r="DY52" s="143"/>
      <c r="DZ52" s="143"/>
      <c r="EA52" s="143"/>
      <c r="EB52" s="143"/>
      <c r="EC52" s="143"/>
      <c r="ED52" s="143"/>
      <c r="EE52" s="143"/>
      <c r="EF52" s="143"/>
      <c r="EG52" s="143"/>
      <c r="EH52" s="143"/>
      <c r="EI52" s="143"/>
      <c r="EJ52" s="143"/>
      <c r="EK52" s="143"/>
      <c r="EL52" s="143"/>
      <c r="EM52" s="143"/>
      <c r="EN52" s="143"/>
      <c r="EO52" s="143"/>
      <c r="EP52" s="143"/>
      <c r="EQ52" s="143"/>
      <c r="ER52" s="143"/>
      <c r="ES52" s="143"/>
      <c r="ET52" s="143"/>
      <c r="EU52" s="143"/>
      <c r="EV52" s="143"/>
      <c r="EW52" s="143"/>
      <c r="EX52" s="143"/>
      <c r="EY52" s="143"/>
      <c r="EZ52" s="143"/>
      <c r="FA52" s="143"/>
      <c r="FB52" s="143"/>
      <c r="FC52" s="143"/>
      <c r="FD52" s="143"/>
      <c r="FE52" s="143"/>
      <c r="FF52" s="143"/>
      <c r="FG52" s="143"/>
      <c r="FH52" s="143"/>
      <c r="FI52" s="143"/>
      <c r="FJ52" s="143"/>
      <c r="FK52" s="143"/>
      <c r="FL52" s="143"/>
      <c r="FM52" s="143"/>
      <c r="FN52" s="143"/>
      <c r="FO52" s="143"/>
      <c r="FP52" s="143"/>
      <c r="FQ52" s="143"/>
      <c r="FR52" s="143"/>
      <c r="FS52" s="143"/>
      <c r="FT52" s="143"/>
      <c r="FU52" s="143"/>
      <c r="FV52" s="143"/>
      <c r="FW52" s="143"/>
      <c r="FX52" s="143"/>
      <c r="FY52" s="143"/>
      <c r="FZ52" s="143"/>
      <c r="GA52" s="143"/>
      <c r="GB52" s="143"/>
      <c r="GC52" s="143"/>
      <c r="GD52" s="143"/>
      <c r="GE52" s="143"/>
      <c r="GF52" s="143"/>
      <c r="GG52" s="143"/>
      <c r="GH52" s="143"/>
      <c r="GI52" s="143"/>
      <c r="GJ52" s="143"/>
      <c r="GK52" s="143"/>
      <c r="GL52" s="143"/>
      <c r="GM52" s="143"/>
      <c r="GN52" s="143"/>
      <c r="GO52" s="143"/>
      <c r="GP52" s="143"/>
      <c r="GQ52" s="143"/>
      <c r="GR52" s="143"/>
      <c r="GS52" s="143"/>
      <c r="GT52" s="143"/>
      <c r="GU52" s="143"/>
      <c r="GV52" s="143"/>
      <c r="GW52" s="143"/>
      <c r="GX52" s="143"/>
      <c r="GY52" s="143"/>
      <c r="GZ52" s="143"/>
      <c r="HA52" s="143"/>
      <c r="HB52" s="143"/>
      <c r="HC52" s="143"/>
      <c r="HD52" s="143"/>
      <c r="HE52" s="143"/>
      <c r="HF52" s="143"/>
      <c r="HG52" s="143"/>
      <c r="HH52" s="143"/>
      <c r="HI52" s="143"/>
      <c r="HJ52" s="143"/>
      <c r="HK52" s="143"/>
      <c r="HL52" s="143"/>
      <c r="HM52" s="143"/>
      <c r="HN52" s="143"/>
      <c r="HO52" s="143"/>
      <c r="HP52" s="143"/>
      <c r="HQ52" s="143"/>
      <c r="HR52" s="143"/>
      <c r="HS52" s="143"/>
      <c r="HT52" s="143"/>
      <c r="HU52" s="143"/>
      <c r="HV52" s="143"/>
      <c r="HW52" s="143"/>
      <c r="HX52" s="143"/>
      <c r="HY52" s="143"/>
      <c r="HZ52" s="143"/>
      <c r="IA52" s="143"/>
      <c r="IB52" s="143"/>
      <c r="IC52" s="143"/>
      <c r="ID52" s="143"/>
      <c r="IE52" s="143"/>
      <c r="IF52" s="143"/>
      <c r="IG52" s="143"/>
      <c r="IH52" s="143"/>
      <c r="II52" s="143"/>
      <c r="IJ52" s="143"/>
      <c r="IK52" s="143"/>
      <c r="IL52" s="143"/>
      <c r="IM52" s="143"/>
      <c r="IN52" s="143"/>
      <c r="IO52" s="143"/>
      <c r="IP52" s="143"/>
      <c r="IQ52" s="143"/>
      <c r="IR52" s="143"/>
      <c r="IS52" s="143"/>
      <c r="IT52" s="143"/>
      <c r="IU52" s="143"/>
      <c r="IV52" s="143"/>
      <c r="IW52" s="143"/>
    </row>
    <row r="53" spans="1:257" ht="8.25" customHeight="1" x14ac:dyDescent="0.25">
      <c r="A53" s="147" t="s">
        <v>217</v>
      </c>
      <c r="B53" s="147"/>
      <c r="C53" s="147"/>
      <c r="D53" s="147"/>
      <c r="E53" s="147"/>
      <c r="F53" s="147"/>
      <c r="G53" s="147"/>
      <c r="H53" s="147"/>
      <c r="I53" s="147"/>
      <c r="J53" s="147"/>
      <c r="K53" s="147"/>
      <c r="L53" s="147"/>
      <c r="M53" s="147"/>
      <c r="N53" s="147"/>
      <c r="O53" s="147"/>
      <c r="P53" s="147"/>
      <c r="Q53" s="147"/>
      <c r="R53" s="147"/>
      <c r="S53" s="147"/>
      <c r="T53" s="147"/>
      <c r="U53" s="147"/>
      <c r="V53" s="147"/>
      <c r="W53" s="147"/>
      <c r="X53" s="147"/>
      <c r="Y53" s="147"/>
      <c r="Z53" s="147"/>
      <c r="AA53" s="147"/>
      <c r="AB53" s="147"/>
      <c r="AC53" s="147"/>
      <c r="AD53" s="147"/>
      <c r="AE53" s="147"/>
      <c r="AF53" s="147"/>
      <c r="AG53" s="147"/>
      <c r="AH53" s="147"/>
      <c r="AI53" s="147"/>
      <c r="AJ53" s="147"/>
      <c r="AK53" s="143"/>
      <c r="AL53" s="143"/>
      <c r="AM53" s="143"/>
      <c r="AN53" s="143"/>
      <c r="AO53" s="143"/>
      <c r="AP53" s="143"/>
      <c r="AQ53" s="143"/>
      <c r="AR53" s="143"/>
      <c r="AS53" s="143"/>
      <c r="AT53" s="143"/>
      <c r="AU53" s="143"/>
      <c r="AV53" s="143"/>
      <c r="AW53" s="143"/>
      <c r="AX53" s="143"/>
      <c r="AY53" s="143"/>
      <c r="AZ53" s="143"/>
      <c r="BA53" s="143"/>
      <c r="BB53" s="143"/>
      <c r="BC53" s="143"/>
      <c r="BD53" s="143"/>
      <c r="BE53" s="143"/>
      <c r="BF53" s="143"/>
      <c r="BG53" s="143"/>
      <c r="BH53" s="143"/>
      <c r="BI53" s="143"/>
      <c r="BJ53" s="143"/>
      <c r="BK53" s="143"/>
      <c r="BL53" s="143"/>
      <c r="BM53" s="143"/>
      <c r="BN53" s="143"/>
      <c r="BO53" s="143"/>
      <c r="BP53" s="143"/>
      <c r="BQ53" s="143"/>
      <c r="BR53" s="143"/>
      <c r="BS53" s="143"/>
      <c r="BT53" s="143"/>
      <c r="BU53" s="143"/>
      <c r="BV53" s="143"/>
      <c r="BW53" s="143"/>
      <c r="BX53" s="143"/>
      <c r="BY53" s="143"/>
      <c r="BZ53" s="143"/>
      <c r="CA53" s="143"/>
      <c r="CB53" s="143"/>
      <c r="CC53" s="143"/>
      <c r="CD53" s="143"/>
      <c r="CE53" s="143"/>
      <c r="CF53" s="143"/>
      <c r="CG53" s="143"/>
      <c r="CH53" s="143"/>
      <c r="CI53" s="143"/>
      <c r="CJ53" s="143"/>
      <c r="CK53" s="143"/>
      <c r="CL53" s="143"/>
      <c r="CM53" s="143"/>
      <c r="CN53" s="143"/>
      <c r="CO53" s="143"/>
      <c r="CP53" s="143"/>
      <c r="CQ53" s="143"/>
      <c r="CR53" s="143"/>
      <c r="CS53" s="143"/>
      <c r="CT53" s="143"/>
      <c r="CU53" s="143"/>
      <c r="CV53" s="143"/>
      <c r="CW53" s="143"/>
      <c r="CX53" s="143"/>
      <c r="CY53" s="143"/>
      <c r="CZ53" s="143"/>
      <c r="DA53" s="143"/>
      <c r="DB53" s="143"/>
      <c r="DC53" s="143"/>
      <c r="DD53" s="143"/>
      <c r="DE53" s="143"/>
      <c r="DF53" s="143"/>
      <c r="DG53" s="143"/>
      <c r="DH53" s="143"/>
      <c r="DI53" s="143"/>
      <c r="DJ53" s="143"/>
      <c r="DK53" s="143"/>
      <c r="DL53" s="143"/>
      <c r="DM53" s="143"/>
      <c r="DN53" s="143"/>
      <c r="DO53" s="143"/>
      <c r="DP53" s="143"/>
      <c r="DQ53" s="143"/>
      <c r="DR53" s="143"/>
      <c r="DS53" s="143"/>
      <c r="DT53" s="143"/>
      <c r="DU53" s="143"/>
      <c r="DV53" s="143"/>
      <c r="DW53" s="143"/>
      <c r="DX53" s="143"/>
      <c r="DY53" s="143"/>
      <c r="DZ53" s="143"/>
      <c r="EA53" s="143"/>
      <c r="EB53" s="143"/>
      <c r="EC53" s="143"/>
      <c r="ED53" s="143"/>
      <c r="EE53" s="143"/>
      <c r="EF53" s="143"/>
      <c r="EG53" s="143"/>
      <c r="EH53" s="143"/>
      <c r="EI53" s="143"/>
      <c r="EJ53" s="143"/>
      <c r="EK53" s="143"/>
      <c r="EL53" s="143"/>
      <c r="EM53" s="143"/>
      <c r="EN53" s="143"/>
      <c r="EO53" s="143"/>
      <c r="EP53" s="143"/>
      <c r="EQ53" s="143"/>
      <c r="ER53" s="143"/>
      <c r="ES53" s="143"/>
      <c r="ET53" s="143"/>
      <c r="EU53" s="143"/>
      <c r="EV53" s="143"/>
      <c r="EW53" s="143"/>
      <c r="EX53" s="143"/>
      <c r="EY53" s="143"/>
      <c r="EZ53" s="143"/>
      <c r="FA53" s="143"/>
      <c r="FB53" s="143"/>
      <c r="FC53" s="143"/>
      <c r="FD53" s="143"/>
      <c r="FE53" s="143"/>
      <c r="FF53" s="143"/>
      <c r="FG53" s="143"/>
      <c r="FH53" s="143"/>
      <c r="FI53" s="143"/>
      <c r="FJ53" s="143"/>
      <c r="FK53" s="143"/>
      <c r="FL53" s="143"/>
      <c r="FM53" s="143"/>
      <c r="FN53" s="143"/>
      <c r="FO53" s="143"/>
      <c r="FP53" s="143"/>
      <c r="FQ53" s="143"/>
      <c r="FR53" s="143"/>
      <c r="FS53" s="143"/>
      <c r="FT53" s="143"/>
      <c r="FU53" s="143"/>
      <c r="FV53" s="143"/>
      <c r="FW53" s="143"/>
      <c r="FX53" s="143"/>
      <c r="FY53" s="143"/>
      <c r="FZ53" s="143"/>
      <c r="GA53" s="143"/>
      <c r="GB53" s="143"/>
      <c r="GC53" s="143"/>
      <c r="GD53" s="143"/>
      <c r="GE53" s="143"/>
      <c r="GF53" s="143"/>
      <c r="GG53" s="143"/>
      <c r="GH53" s="143"/>
      <c r="GI53" s="143"/>
      <c r="GJ53" s="143"/>
      <c r="GK53" s="143"/>
      <c r="GL53" s="143"/>
      <c r="GM53" s="143"/>
      <c r="GN53" s="143"/>
      <c r="GO53" s="143"/>
      <c r="GP53" s="143"/>
      <c r="GQ53" s="143"/>
      <c r="GR53" s="143"/>
      <c r="GS53" s="143"/>
      <c r="GT53" s="143"/>
      <c r="GU53" s="143"/>
      <c r="GV53" s="143"/>
      <c r="GW53" s="143"/>
      <c r="GX53" s="143"/>
      <c r="GY53" s="143"/>
      <c r="GZ53" s="143"/>
      <c r="HA53" s="143"/>
      <c r="HB53" s="143"/>
      <c r="HC53" s="143"/>
      <c r="HD53" s="143"/>
      <c r="HE53" s="143"/>
      <c r="HF53" s="143"/>
      <c r="HG53" s="143"/>
      <c r="HH53" s="143"/>
      <c r="HI53" s="143"/>
      <c r="HJ53" s="143"/>
      <c r="HK53" s="143"/>
      <c r="HL53" s="143"/>
      <c r="HM53" s="143"/>
      <c r="HN53" s="143"/>
      <c r="HO53" s="143"/>
      <c r="HP53" s="143"/>
      <c r="HQ53" s="143"/>
      <c r="HR53" s="143"/>
      <c r="HS53" s="143"/>
      <c r="HT53" s="143"/>
      <c r="HU53" s="143"/>
      <c r="HV53" s="143"/>
      <c r="HW53" s="143"/>
      <c r="HX53" s="143"/>
      <c r="HY53" s="143"/>
      <c r="HZ53" s="143"/>
      <c r="IA53" s="143"/>
      <c r="IB53" s="143"/>
      <c r="IC53" s="143"/>
      <c r="ID53" s="143"/>
      <c r="IE53" s="143"/>
      <c r="IF53" s="143"/>
      <c r="IG53" s="143"/>
      <c r="IH53" s="143"/>
      <c r="II53" s="143"/>
      <c r="IJ53" s="143"/>
      <c r="IK53" s="143"/>
      <c r="IL53" s="143"/>
      <c r="IM53" s="143"/>
      <c r="IN53" s="143"/>
      <c r="IO53" s="143"/>
      <c r="IP53" s="143"/>
      <c r="IQ53" s="143"/>
      <c r="IR53" s="143"/>
      <c r="IS53" s="143"/>
      <c r="IT53" s="143"/>
      <c r="IU53" s="143"/>
      <c r="IV53" s="143"/>
      <c r="IW53" s="143"/>
    </row>
    <row r="54" spans="1:257" ht="12" customHeight="1" x14ac:dyDescent="0.25">
      <c r="A54" s="141" t="s">
        <v>218</v>
      </c>
      <c r="B54" s="141"/>
      <c r="C54" s="141"/>
      <c r="D54" s="141"/>
      <c r="E54" s="141"/>
      <c r="F54" s="141"/>
      <c r="G54" s="141"/>
      <c r="H54" s="141"/>
      <c r="I54" s="141"/>
      <c r="J54" s="141"/>
      <c r="K54" s="141"/>
      <c r="L54" s="141"/>
      <c r="M54" s="141"/>
      <c r="N54" s="141"/>
      <c r="O54" s="141"/>
      <c r="P54" s="141"/>
      <c r="Q54" s="141"/>
      <c r="R54" s="141"/>
      <c r="S54" s="141"/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3"/>
      <c r="AL54" s="143"/>
      <c r="AM54" s="143"/>
      <c r="AN54" s="143"/>
      <c r="AO54" s="143"/>
      <c r="AP54" s="143"/>
      <c r="AQ54" s="143"/>
      <c r="AR54" s="143"/>
      <c r="AS54" s="143"/>
      <c r="AT54" s="143"/>
      <c r="AU54" s="143"/>
      <c r="AV54" s="143"/>
      <c r="AW54" s="143"/>
      <c r="AX54" s="143"/>
      <c r="AY54" s="143"/>
      <c r="AZ54" s="143"/>
      <c r="BA54" s="143"/>
      <c r="BB54" s="143"/>
      <c r="BC54" s="143"/>
      <c r="BD54" s="143"/>
      <c r="BE54" s="143"/>
      <c r="BF54" s="143"/>
      <c r="BG54" s="143"/>
      <c r="BH54" s="143"/>
      <c r="BI54" s="143"/>
      <c r="BJ54" s="143"/>
      <c r="BK54" s="143"/>
      <c r="BL54" s="143"/>
      <c r="BM54" s="143"/>
      <c r="BN54" s="143"/>
      <c r="BO54" s="143"/>
      <c r="BP54" s="143"/>
      <c r="BQ54" s="143"/>
      <c r="BR54" s="143"/>
      <c r="BS54" s="143"/>
      <c r="BT54" s="143"/>
      <c r="BU54" s="143"/>
      <c r="BV54" s="143"/>
      <c r="BW54" s="143"/>
      <c r="BX54" s="143"/>
      <c r="BY54" s="143"/>
      <c r="BZ54" s="143"/>
      <c r="CA54" s="143"/>
      <c r="CB54" s="143"/>
      <c r="CC54" s="143"/>
      <c r="CD54" s="143"/>
      <c r="CE54" s="143"/>
      <c r="CF54" s="143"/>
      <c r="CG54" s="143"/>
      <c r="CH54" s="143"/>
      <c r="CI54" s="143"/>
      <c r="CJ54" s="143"/>
      <c r="CK54" s="143"/>
      <c r="CL54" s="143"/>
      <c r="CM54" s="143"/>
      <c r="CN54" s="143"/>
      <c r="CO54" s="143"/>
      <c r="CP54" s="143"/>
      <c r="CQ54" s="143"/>
      <c r="CR54" s="143"/>
      <c r="CS54" s="143"/>
      <c r="CT54" s="143"/>
      <c r="CU54" s="143"/>
      <c r="CV54" s="143"/>
      <c r="CW54" s="143"/>
      <c r="CX54" s="143"/>
      <c r="CY54" s="143"/>
      <c r="CZ54" s="143"/>
      <c r="DA54" s="143"/>
      <c r="DB54" s="143"/>
      <c r="DC54" s="143"/>
      <c r="DD54" s="143"/>
      <c r="DE54" s="143"/>
      <c r="DF54" s="143"/>
      <c r="DG54" s="143"/>
      <c r="DH54" s="143"/>
      <c r="DI54" s="143"/>
      <c r="DJ54" s="143"/>
      <c r="DK54" s="143"/>
      <c r="DL54" s="143"/>
      <c r="DM54" s="143"/>
      <c r="DN54" s="143"/>
      <c r="DO54" s="143"/>
      <c r="DP54" s="143"/>
      <c r="DQ54" s="143"/>
      <c r="DR54" s="143"/>
      <c r="DS54" s="143"/>
      <c r="DT54" s="143"/>
      <c r="DU54" s="143"/>
      <c r="DV54" s="143"/>
      <c r="DW54" s="143"/>
      <c r="DX54" s="143"/>
      <c r="DY54" s="143"/>
      <c r="DZ54" s="143"/>
      <c r="EA54" s="143"/>
      <c r="EB54" s="143"/>
      <c r="EC54" s="143"/>
      <c r="ED54" s="143"/>
      <c r="EE54" s="143"/>
      <c r="EF54" s="143"/>
      <c r="EG54" s="143"/>
      <c r="EH54" s="143"/>
      <c r="EI54" s="143"/>
      <c r="EJ54" s="143"/>
      <c r="EK54" s="143"/>
      <c r="EL54" s="143"/>
      <c r="EM54" s="143"/>
      <c r="EN54" s="143"/>
      <c r="EO54" s="143"/>
      <c r="EP54" s="143"/>
      <c r="EQ54" s="143"/>
      <c r="ER54" s="143"/>
      <c r="ES54" s="143"/>
      <c r="ET54" s="143"/>
      <c r="EU54" s="143"/>
      <c r="EV54" s="143"/>
      <c r="EW54" s="143"/>
      <c r="EX54" s="143"/>
      <c r="EY54" s="143"/>
      <c r="EZ54" s="143"/>
      <c r="FA54" s="143"/>
      <c r="FB54" s="143"/>
      <c r="FC54" s="143"/>
      <c r="FD54" s="143"/>
      <c r="FE54" s="143"/>
      <c r="FF54" s="143"/>
      <c r="FG54" s="143"/>
      <c r="FH54" s="143"/>
      <c r="FI54" s="143"/>
      <c r="FJ54" s="143"/>
      <c r="FK54" s="143"/>
      <c r="FL54" s="143"/>
      <c r="FM54" s="143"/>
      <c r="FN54" s="143"/>
      <c r="FO54" s="143"/>
      <c r="FP54" s="143"/>
      <c r="FQ54" s="143"/>
      <c r="FR54" s="143"/>
      <c r="FS54" s="143"/>
      <c r="FT54" s="143"/>
      <c r="FU54" s="143"/>
      <c r="FV54" s="143"/>
      <c r="FW54" s="143"/>
      <c r="FX54" s="143"/>
      <c r="FY54" s="143"/>
      <c r="FZ54" s="143"/>
      <c r="GA54" s="143"/>
      <c r="GB54" s="143"/>
      <c r="GC54" s="143"/>
      <c r="GD54" s="143"/>
      <c r="GE54" s="143"/>
      <c r="GF54" s="143"/>
      <c r="GG54" s="143"/>
      <c r="GH54" s="143"/>
      <c r="GI54" s="143"/>
      <c r="GJ54" s="143"/>
      <c r="GK54" s="143"/>
      <c r="GL54" s="143"/>
      <c r="GM54" s="143"/>
      <c r="GN54" s="143"/>
      <c r="GO54" s="143"/>
      <c r="GP54" s="143"/>
      <c r="GQ54" s="143"/>
      <c r="GR54" s="143"/>
      <c r="GS54" s="143"/>
      <c r="GT54" s="143"/>
      <c r="GU54" s="143"/>
      <c r="GV54" s="143"/>
      <c r="GW54" s="143"/>
      <c r="GX54" s="143"/>
      <c r="GY54" s="143"/>
      <c r="GZ54" s="143"/>
      <c r="HA54" s="143"/>
      <c r="HB54" s="143"/>
      <c r="HC54" s="143"/>
      <c r="HD54" s="143"/>
      <c r="HE54" s="143"/>
      <c r="HF54" s="143"/>
      <c r="HG54" s="143"/>
      <c r="HH54" s="143"/>
      <c r="HI54" s="143"/>
      <c r="HJ54" s="143"/>
      <c r="HK54" s="143"/>
      <c r="HL54" s="143"/>
      <c r="HM54" s="143"/>
      <c r="HN54" s="143"/>
      <c r="HO54" s="143"/>
      <c r="HP54" s="143"/>
      <c r="HQ54" s="143"/>
      <c r="HR54" s="143"/>
      <c r="HS54" s="143"/>
      <c r="HT54" s="143"/>
      <c r="HU54" s="143"/>
      <c r="HV54" s="143"/>
      <c r="HW54" s="143"/>
      <c r="HX54" s="143"/>
      <c r="HY54" s="143"/>
      <c r="HZ54" s="143"/>
      <c r="IA54" s="143"/>
      <c r="IB54" s="143"/>
      <c r="IC54" s="143"/>
      <c r="ID54" s="143"/>
      <c r="IE54" s="143"/>
      <c r="IF54" s="143"/>
      <c r="IG54" s="143"/>
      <c r="IH54" s="143"/>
      <c r="II54" s="143"/>
      <c r="IJ54" s="143"/>
      <c r="IK54" s="143"/>
      <c r="IL54" s="143"/>
      <c r="IM54" s="143"/>
      <c r="IN54" s="143"/>
      <c r="IO54" s="143"/>
      <c r="IP54" s="143"/>
      <c r="IQ54" s="143"/>
      <c r="IR54" s="143"/>
      <c r="IS54" s="143"/>
      <c r="IT54" s="143"/>
      <c r="IU54" s="143"/>
      <c r="IV54" s="143"/>
      <c r="IW54" s="143"/>
    </row>
    <row r="55" spans="1:257" ht="8.25" customHeight="1" x14ac:dyDescent="0.25">
      <c r="A55" s="147" t="s">
        <v>219</v>
      </c>
      <c r="B55" s="147"/>
      <c r="C55" s="147"/>
      <c r="D55" s="147"/>
      <c r="E55" s="147"/>
      <c r="F55" s="147"/>
      <c r="G55" s="147"/>
      <c r="H55" s="147"/>
      <c r="I55" s="147"/>
      <c r="J55" s="147"/>
      <c r="K55" s="147"/>
      <c r="L55" s="147"/>
      <c r="M55" s="147"/>
      <c r="N55" s="147"/>
      <c r="O55" s="147"/>
      <c r="P55" s="147"/>
      <c r="Q55" s="147"/>
      <c r="R55" s="147"/>
      <c r="S55" s="147"/>
      <c r="T55" s="147"/>
      <c r="U55" s="147"/>
      <c r="V55" s="147"/>
      <c r="W55" s="147"/>
      <c r="X55" s="147"/>
      <c r="Y55" s="147"/>
      <c r="Z55" s="147"/>
      <c r="AA55" s="147"/>
      <c r="AB55" s="147"/>
      <c r="AC55" s="147"/>
      <c r="AD55" s="147"/>
      <c r="AE55" s="147"/>
      <c r="AF55" s="147"/>
      <c r="AG55" s="147"/>
      <c r="AH55" s="147"/>
      <c r="AI55" s="147"/>
      <c r="AJ55" s="147"/>
      <c r="AK55" s="143"/>
      <c r="AL55" s="143"/>
      <c r="AM55" s="143"/>
      <c r="AN55" s="143"/>
      <c r="AO55" s="143"/>
      <c r="AP55" s="143"/>
      <c r="AQ55" s="143"/>
      <c r="AR55" s="143"/>
      <c r="AS55" s="143"/>
      <c r="AT55" s="143"/>
      <c r="AU55" s="143"/>
      <c r="AV55" s="143"/>
      <c r="AW55" s="143"/>
      <c r="AX55" s="143"/>
      <c r="AY55" s="143"/>
      <c r="AZ55" s="143"/>
      <c r="BA55" s="143"/>
      <c r="BB55" s="143"/>
      <c r="BC55" s="143"/>
      <c r="BD55" s="143"/>
      <c r="BE55" s="143"/>
      <c r="BF55" s="143"/>
      <c r="BG55" s="143"/>
      <c r="BH55" s="143"/>
      <c r="BI55" s="143"/>
      <c r="BJ55" s="143"/>
      <c r="BK55" s="143"/>
      <c r="BL55" s="143"/>
      <c r="BM55" s="143"/>
      <c r="BN55" s="143"/>
      <c r="BO55" s="143"/>
      <c r="BP55" s="143"/>
      <c r="BQ55" s="143"/>
      <c r="BR55" s="143"/>
      <c r="BS55" s="143"/>
      <c r="BT55" s="143"/>
      <c r="BU55" s="143"/>
      <c r="BV55" s="143"/>
      <c r="BW55" s="143"/>
      <c r="BX55" s="143"/>
      <c r="BY55" s="143"/>
      <c r="BZ55" s="143"/>
      <c r="CA55" s="143"/>
      <c r="CB55" s="143"/>
      <c r="CC55" s="143"/>
      <c r="CD55" s="143"/>
      <c r="CE55" s="143"/>
      <c r="CF55" s="143"/>
      <c r="CG55" s="143"/>
      <c r="CH55" s="143"/>
      <c r="CI55" s="143"/>
      <c r="CJ55" s="143"/>
      <c r="CK55" s="143"/>
      <c r="CL55" s="143"/>
      <c r="CM55" s="143"/>
      <c r="CN55" s="143"/>
      <c r="CO55" s="143"/>
      <c r="CP55" s="143"/>
      <c r="CQ55" s="143"/>
      <c r="CR55" s="143"/>
      <c r="CS55" s="143"/>
      <c r="CT55" s="143"/>
      <c r="CU55" s="143"/>
      <c r="CV55" s="143"/>
      <c r="CW55" s="143"/>
      <c r="CX55" s="143"/>
      <c r="CY55" s="143"/>
      <c r="CZ55" s="143"/>
      <c r="DA55" s="143"/>
      <c r="DB55" s="143"/>
      <c r="DC55" s="143"/>
      <c r="DD55" s="143"/>
      <c r="DE55" s="143"/>
      <c r="DF55" s="143"/>
      <c r="DG55" s="143"/>
      <c r="DH55" s="143"/>
      <c r="DI55" s="143"/>
      <c r="DJ55" s="143"/>
      <c r="DK55" s="143"/>
      <c r="DL55" s="143"/>
      <c r="DM55" s="143"/>
      <c r="DN55" s="143"/>
      <c r="DO55" s="143"/>
      <c r="DP55" s="143"/>
      <c r="DQ55" s="143"/>
      <c r="DR55" s="143"/>
      <c r="DS55" s="143"/>
      <c r="DT55" s="143"/>
      <c r="DU55" s="143"/>
      <c r="DV55" s="143"/>
      <c r="DW55" s="143"/>
      <c r="DX55" s="143"/>
      <c r="DY55" s="143"/>
      <c r="DZ55" s="143"/>
      <c r="EA55" s="143"/>
      <c r="EB55" s="143"/>
      <c r="EC55" s="143"/>
      <c r="ED55" s="143"/>
      <c r="EE55" s="143"/>
      <c r="EF55" s="143"/>
      <c r="EG55" s="143"/>
      <c r="EH55" s="143"/>
      <c r="EI55" s="143"/>
      <c r="EJ55" s="143"/>
      <c r="EK55" s="143"/>
      <c r="EL55" s="143"/>
      <c r="EM55" s="143"/>
      <c r="EN55" s="143"/>
      <c r="EO55" s="143"/>
      <c r="EP55" s="143"/>
      <c r="EQ55" s="143"/>
      <c r="ER55" s="143"/>
      <c r="ES55" s="143"/>
      <c r="ET55" s="143"/>
      <c r="EU55" s="143"/>
      <c r="EV55" s="143"/>
      <c r="EW55" s="143"/>
      <c r="EX55" s="143"/>
      <c r="EY55" s="143"/>
      <c r="EZ55" s="143"/>
      <c r="FA55" s="143"/>
      <c r="FB55" s="143"/>
      <c r="FC55" s="143"/>
      <c r="FD55" s="143"/>
      <c r="FE55" s="143"/>
      <c r="FF55" s="143"/>
      <c r="FG55" s="143"/>
      <c r="FH55" s="143"/>
      <c r="FI55" s="143"/>
      <c r="FJ55" s="143"/>
      <c r="FK55" s="143"/>
      <c r="FL55" s="143"/>
      <c r="FM55" s="143"/>
      <c r="FN55" s="143"/>
      <c r="FO55" s="143"/>
      <c r="FP55" s="143"/>
      <c r="FQ55" s="143"/>
      <c r="FR55" s="143"/>
      <c r="FS55" s="143"/>
      <c r="FT55" s="143"/>
      <c r="FU55" s="143"/>
      <c r="FV55" s="143"/>
      <c r="FW55" s="143"/>
      <c r="FX55" s="143"/>
      <c r="FY55" s="143"/>
      <c r="FZ55" s="143"/>
      <c r="GA55" s="143"/>
      <c r="GB55" s="143"/>
      <c r="GC55" s="143"/>
      <c r="GD55" s="143"/>
      <c r="GE55" s="143"/>
      <c r="GF55" s="143"/>
      <c r="GG55" s="143"/>
      <c r="GH55" s="143"/>
      <c r="GI55" s="143"/>
      <c r="GJ55" s="143"/>
      <c r="GK55" s="143"/>
      <c r="GL55" s="143"/>
      <c r="GM55" s="143"/>
      <c r="GN55" s="143"/>
      <c r="GO55" s="143"/>
      <c r="GP55" s="143"/>
      <c r="GQ55" s="143"/>
      <c r="GR55" s="143"/>
      <c r="GS55" s="143"/>
      <c r="GT55" s="143"/>
      <c r="GU55" s="143"/>
      <c r="GV55" s="143"/>
      <c r="GW55" s="143"/>
      <c r="GX55" s="143"/>
      <c r="GY55" s="143"/>
      <c r="GZ55" s="143"/>
      <c r="HA55" s="143"/>
      <c r="HB55" s="143"/>
      <c r="HC55" s="143"/>
      <c r="HD55" s="143"/>
      <c r="HE55" s="143"/>
      <c r="HF55" s="143"/>
      <c r="HG55" s="143"/>
      <c r="HH55" s="143"/>
      <c r="HI55" s="143"/>
      <c r="HJ55" s="143"/>
      <c r="HK55" s="143"/>
      <c r="HL55" s="143"/>
      <c r="HM55" s="143"/>
      <c r="HN55" s="143"/>
      <c r="HO55" s="143"/>
      <c r="HP55" s="143"/>
      <c r="HQ55" s="143"/>
      <c r="HR55" s="143"/>
      <c r="HS55" s="143"/>
      <c r="HT55" s="143"/>
      <c r="HU55" s="143"/>
      <c r="HV55" s="143"/>
      <c r="HW55" s="143"/>
      <c r="HX55" s="143"/>
      <c r="HY55" s="143"/>
      <c r="HZ55" s="143"/>
      <c r="IA55" s="143"/>
      <c r="IB55" s="143"/>
      <c r="IC55" s="143"/>
      <c r="ID55" s="143"/>
      <c r="IE55" s="143"/>
      <c r="IF55" s="143"/>
      <c r="IG55" s="143"/>
      <c r="IH55" s="143"/>
      <c r="II55" s="143"/>
      <c r="IJ55" s="143"/>
      <c r="IK55" s="143"/>
      <c r="IL55" s="143"/>
      <c r="IM55" s="143"/>
      <c r="IN55" s="143"/>
      <c r="IO55" s="143"/>
      <c r="IP55" s="143"/>
      <c r="IQ55" s="143"/>
      <c r="IR55" s="143"/>
      <c r="IS55" s="143"/>
      <c r="IT55" s="143"/>
      <c r="IU55" s="143"/>
      <c r="IV55" s="143"/>
      <c r="IW55" s="143"/>
    </row>
    <row r="56" spans="1:257" ht="13.5" customHeight="1" x14ac:dyDescent="0.25">
      <c r="A56" s="114" t="s">
        <v>220</v>
      </c>
      <c r="B56" s="142"/>
      <c r="C56" s="142"/>
      <c r="D56" s="142"/>
      <c r="E56" s="142"/>
      <c r="F56" s="142"/>
      <c r="G56" s="142"/>
      <c r="H56" s="142"/>
      <c r="I56" s="142"/>
      <c r="J56" s="142"/>
      <c r="K56" s="142"/>
      <c r="L56" s="142"/>
      <c r="M56" s="142"/>
      <c r="N56" s="142"/>
      <c r="O56" s="142"/>
      <c r="P56" s="142"/>
      <c r="Q56" s="142"/>
      <c r="R56" s="142"/>
      <c r="S56" s="142"/>
      <c r="T56" s="142"/>
      <c r="U56" s="142"/>
      <c r="V56" s="142"/>
      <c r="W56" s="142"/>
      <c r="X56" s="142"/>
      <c r="Y56" s="142"/>
      <c r="Z56" s="142"/>
      <c r="AA56" s="142"/>
      <c r="AB56" s="142"/>
      <c r="AC56" s="142"/>
      <c r="AD56" s="142"/>
      <c r="AE56" s="142"/>
      <c r="AF56" s="142"/>
      <c r="AG56" s="142"/>
      <c r="AH56" s="142"/>
      <c r="AI56" s="142"/>
      <c r="AJ56" s="142"/>
      <c r="AK56" s="114"/>
      <c r="AL56" s="114"/>
      <c r="AM56" s="114"/>
      <c r="AN56" s="114"/>
      <c r="AO56" s="114"/>
      <c r="AP56" s="114"/>
      <c r="AQ56" s="114"/>
      <c r="AR56" s="114"/>
      <c r="AS56" s="114"/>
      <c r="AT56" s="114"/>
      <c r="AU56" s="114"/>
      <c r="AV56" s="114"/>
      <c r="AW56" s="114"/>
      <c r="AX56" s="114"/>
      <c r="AY56" s="114"/>
      <c r="AZ56" s="114"/>
      <c r="BA56" s="114"/>
      <c r="BB56" s="114"/>
      <c r="BC56" s="114"/>
      <c r="BD56" s="114"/>
      <c r="BE56" s="114"/>
      <c r="BF56" s="114"/>
      <c r="BG56" s="114"/>
      <c r="BH56" s="114"/>
      <c r="BI56" s="114"/>
      <c r="BJ56" s="114"/>
      <c r="BK56" s="114"/>
      <c r="BL56" s="114"/>
      <c r="BM56" s="114"/>
      <c r="BN56" s="114"/>
      <c r="BO56" s="114"/>
      <c r="BP56" s="114"/>
      <c r="BQ56" s="114"/>
      <c r="BR56" s="114"/>
      <c r="BS56" s="114"/>
      <c r="BT56" s="114"/>
      <c r="BU56" s="114"/>
      <c r="BV56" s="114"/>
      <c r="BW56" s="114"/>
      <c r="BX56" s="114"/>
      <c r="BY56" s="114"/>
      <c r="BZ56" s="114"/>
      <c r="CA56" s="114"/>
      <c r="CB56" s="114"/>
      <c r="CC56" s="114"/>
      <c r="CD56" s="114"/>
      <c r="CE56" s="114"/>
      <c r="CF56" s="114"/>
      <c r="CG56" s="114"/>
      <c r="CH56" s="114"/>
      <c r="CI56" s="114"/>
      <c r="CJ56" s="114"/>
      <c r="CK56" s="114"/>
      <c r="CL56" s="114"/>
      <c r="CM56" s="114"/>
      <c r="CN56" s="114"/>
      <c r="CO56" s="114"/>
      <c r="CP56" s="114"/>
      <c r="CQ56" s="114"/>
      <c r="CR56" s="114"/>
      <c r="CS56" s="114"/>
      <c r="CT56" s="114"/>
      <c r="CU56" s="114"/>
      <c r="CV56" s="114"/>
      <c r="CW56" s="114"/>
      <c r="CX56" s="114"/>
      <c r="CY56" s="114"/>
      <c r="CZ56" s="114"/>
      <c r="DA56" s="114"/>
      <c r="DB56" s="114"/>
      <c r="DC56" s="114"/>
      <c r="DD56" s="114"/>
      <c r="DE56" s="114"/>
      <c r="DF56" s="114"/>
      <c r="DG56" s="114"/>
      <c r="DH56" s="114"/>
      <c r="DI56" s="114"/>
      <c r="DJ56" s="114"/>
      <c r="DK56" s="114"/>
      <c r="DL56" s="114"/>
      <c r="DM56" s="114"/>
      <c r="DN56" s="114"/>
      <c r="DO56" s="114"/>
      <c r="DP56" s="114"/>
      <c r="DQ56" s="114"/>
      <c r="DR56" s="114"/>
      <c r="DS56" s="114"/>
      <c r="DT56" s="114"/>
      <c r="DU56" s="114"/>
      <c r="DV56" s="114"/>
      <c r="DW56" s="114"/>
      <c r="DX56" s="114"/>
      <c r="DY56" s="114"/>
      <c r="DZ56" s="114"/>
      <c r="EA56" s="114"/>
      <c r="EB56" s="114"/>
      <c r="EC56" s="114"/>
      <c r="ED56" s="114"/>
      <c r="EE56" s="114"/>
      <c r="EF56" s="114"/>
      <c r="EG56" s="114"/>
      <c r="EH56" s="114"/>
      <c r="EI56" s="114"/>
      <c r="EJ56" s="114"/>
      <c r="EK56" s="114"/>
      <c r="EL56" s="114"/>
      <c r="EM56" s="114"/>
      <c r="EN56" s="114"/>
      <c r="EO56" s="114"/>
      <c r="EP56" s="114"/>
      <c r="EQ56" s="114"/>
      <c r="ER56" s="114"/>
      <c r="ES56" s="114"/>
      <c r="ET56" s="114"/>
      <c r="EU56" s="114"/>
      <c r="EV56" s="114"/>
      <c r="EW56" s="114"/>
      <c r="EX56" s="114"/>
      <c r="EY56" s="114"/>
      <c r="EZ56" s="114"/>
      <c r="FA56" s="114"/>
      <c r="FB56" s="114"/>
      <c r="FC56" s="114"/>
      <c r="FD56" s="114"/>
      <c r="FE56" s="114"/>
      <c r="FF56" s="114"/>
      <c r="FG56" s="114"/>
      <c r="FH56" s="114"/>
      <c r="FI56" s="114"/>
      <c r="FJ56" s="114"/>
      <c r="FK56" s="114"/>
      <c r="FL56" s="114"/>
      <c r="FM56" s="114"/>
      <c r="FN56" s="114"/>
      <c r="FO56" s="114"/>
      <c r="FP56" s="114"/>
      <c r="FQ56" s="114"/>
      <c r="FR56" s="114"/>
      <c r="FS56" s="114"/>
      <c r="FT56" s="114"/>
      <c r="FU56" s="114"/>
      <c r="FV56" s="114"/>
      <c r="FW56" s="114"/>
      <c r="FX56" s="114"/>
      <c r="FY56" s="114"/>
      <c r="FZ56" s="114"/>
      <c r="GA56" s="114"/>
      <c r="GB56" s="114"/>
      <c r="GC56" s="114"/>
      <c r="GD56" s="114"/>
      <c r="GE56" s="114"/>
      <c r="GF56" s="114"/>
      <c r="GG56" s="114"/>
      <c r="GH56" s="114"/>
      <c r="GI56" s="114"/>
      <c r="GJ56" s="114"/>
      <c r="GK56" s="114"/>
      <c r="GL56" s="114"/>
      <c r="GM56" s="114"/>
      <c r="GN56" s="114"/>
      <c r="GO56" s="114"/>
      <c r="GP56" s="114"/>
      <c r="GQ56" s="114"/>
      <c r="GR56" s="114"/>
      <c r="GS56" s="114"/>
      <c r="GT56" s="114"/>
      <c r="GU56" s="114"/>
      <c r="GV56" s="114"/>
      <c r="GW56" s="114"/>
      <c r="GX56" s="114"/>
      <c r="GY56" s="114"/>
      <c r="GZ56" s="114"/>
      <c r="HA56" s="114"/>
      <c r="HB56" s="114"/>
      <c r="HC56" s="114"/>
      <c r="HD56" s="114"/>
      <c r="HE56" s="114"/>
      <c r="HF56" s="114"/>
      <c r="HG56" s="114"/>
      <c r="HH56" s="114"/>
      <c r="HI56" s="114"/>
      <c r="HJ56" s="114"/>
      <c r="HK56" s="114"/>
      <c r="HL56" s="114"/>
      <c r="HM56" s="114"/>
      <c r="HN56" s="114"/>
      <c r="HO56" s="114"/>
      <c r="HP56" s="114"/>
      <c r="HQ56" s="114"/>
      <c r="HR56" s="114"/>
      <c r="HS56" s="114"/>
      <c r="HT56" s="114"/>
      <c r="HU56" s="114"/>
      <c r="HV56" s="114"/>
      <c r="HW56" s="114"/>
      <c r="HX56" s="114"/>
      <c r="HY56" s="114"/>
      <c r="HZ56" s="114"/>
      <c r="IA56" s="114"/>
      <c r="IB56" s="114"/>
      <c r="IC56" s="114"/>
      <c r="ID56" s="114"/>
      <c r="IE56" s="114"/>
      <c r="IF56" s="114"/>
      <c r="IG56" s="114"/>
      <c r="IH56" s="114"/>
      <c r="II56" s="114"/>
      <c r="IJ56" s="114"/>
      <c r="IK56" s="114"/>
      <c r="IL56" s="114"/>
      <c r="IM56" s="114"/>
      <c r="IN56" s="114"/>
      <c r="IO56" s="114"/>
      <c r="IP56" s="114"/>
      <c r="IQ56" s="114"/>
      <c r="IR56" s="114"/>
      <c r="IS56" s="114"/>
      <c r="IT56" s="114"/>
      <c r="IU56" s="114"/>
      <c r="IV56" s="114"/>
      <c r="IW56" s="114"/>
    </row>
    <row r="57" spans="1:257" ht="12" customHeight="1" x14ac:dyDescent="0.25">
      <c r="A57" s="148"/>
      <c r="B57" s="149"/>
      <c r="C57" s="149"/>
      <c r="D57" s="149"/>
      <c r="E57" s="149"/>
      <c r="F57" s="149"/>
      <c r="G57" s="149"/>
      <c r="H57" s="149"/>
      <c r="I57" s="149"/>
      <c r="J57" s="149"/>
      <c r="K57" s="149"/>
      <c r="L57" s="149"/>
      <c r="M57" s="149"/>
      <c r="N57" s="149"/>
      <c r="O57" s="149"/>
      <c r="P57" s="149"/>
      <c r="Q57" s="149"/>
      <c r="R57" s="149"/>
      <c r="S57" s="149"/>
      <c r="T57" s="149"/>
      <c r="U57" s="149"/>
      <c r="V57" s="149"/>
      <c r="W57" s="149"/>
      <c r="X57" s="149"/>
      <c r="Y57" s="149"/>
      <c r="Z57" s="149"/>
      <c r="AA57" s="149"/>
      <c r="AB57" s="149"/>
      <c r="AC57" s="149"/>
      <c r="AD57" s="149"/>
      <c r="AE57" s="149"/>
      <c r="AF57" s="149"/>
      <c r="AG57" s="149"/>
      <c r="AH57" s="149"/>
      <c r="AI57" s="149"/>
      <c r="AJ57" s="149"/>
    </row>
    <row r="58" spans="1:257" ht="12" customHeight="1" x14ac:dyDescent="0.3">
      <c r="A58" s="114" t="s">
        <v>221</v>
      </c>
      <c r="B58" s="114"/>
      <c r="C58" s="114"/>
      <c r="D58" s="114"/>
      <c r="E58" s="114"/>
      <c r="F58" s="114"/>
      <c r="G58" s="114"/>
      <c r="H58" s="114"/>
      <c r="I58" s="114"/>
      <c r="J58" s="114"/>
      <c r="K58" s="114"/>
      <c r="L58" s="130" t="s">
        <v>222</v>
      </c>
      <c r="M58" s="130"/>
      <c r="N58" s="130"/>
      <c r="O58" s="130"/>
      <c r="P58" s="130"/>
      <c r="Q58" s="130"/>
      <c r="R58" s="130"/>
      <c r="S58" s="130"/>
      <c r="T58" s="130"/>
      <c r="U58" s="130"/>
      <c r="V58" s="130"/>
      <c r="W58" s="130"/>
      <c r="X58" s="130"/>
      <c r="Y58" s="130"/>
      <c r="Z58" s="130"/>
      <c r="AA58" s="130"/>
      <c r="AB58" s="130"/>
      <c r="AC58" s="130"/>
      <c r="AD58" s="130"/>
      <c r="AE58" s="130"/>
      <c r="AF58" s="130"/>
      <c r="AG58" s="130"/>
      <c r="AH58" s="130"/>
      <c r="AI58" s="130"/>
      <c r="AJ58" s="130"/>
      <c r="AK58" s="114"/>
      <c r="AL58" s="114"/>
      <c r="AM58" s="114"/>
      <c r="AN58" s="114"/>
      <c r="AO58" s="114"/>
      <c r="AP58" s="114"/>
      <c r="AQ58" s="114"/>
      <c r="AR58" s="114"/>
      <c r="AS58" s="114"/>
      <c r="AT58" s="114"/>
      <c r="AU58" s="114"/>
      <c r="AV58" s="114"/>
      <c r="AW58" s="114"/>
      <c r="AX58" s="114"/>
      <c r="AY58" s="114"/>
      <c r="AZ58" s="114"/>
      <c r="BA58" s="114"/>
      <c r="BB58" s="114"/>
      <c r="BC58" s="114"/>
      <c r="BD58" s="114"/>
      <c r="BE58" s="114"/>
      <c r="BF58" s="114"/>
      <c r="BG58" s="114"/>
      <c r="BH58" s="114"/>
      <c r="BI58" s="114"/>
      <c r="BJ58" s="114"/>
      <c r="BK58" s="114"/>
      <c r="BL58" s="114"/>
      <c r="BM58" s="114"/>
      <c r="BN58" s="114"/>
      <c r="BO58" s="114"/>
      <c r="BP58" s="114"/>
      <c r="BQ58" s="114"/>
      <c r="BR58" s="114"/>
      <c r="BS58" s="114"/>
      <c r="BT58" s="114"/>
      <c r="BU58" s="114"/>
      <c r="BV58" s="114"/>
      <c r="BW58" s="114"/>
      <c r="BX58" s="114"/>
      <c r="BY58" s="114"/>
      <c r="BZ58" s="114"/>
      <c r="CA58" s="114"/>
      <c r="CB58" s="114"/>
      <c r="CC58" s="114"/>
      <c r="CD58" s="114"/>
      <c r="CE58" s="114"/>
      <c r="CF58" s="114"/>
      <c r="CG58" s="114"/>
      <c r="CH58" s="114"/>
      <c r="CI58" s="114"/>
      <c r="CJ58" s="114"/>
      <c r="CK58" s="114"/>
      <c r="CL58" s="114"/>
      <c r="CM58" s="114"/>
      <c r="CN58" s="114"/>
      <c r="CO58" s="114"/>
      <c r="CP58" s="114"/>
      <c r="CQ58" s="114"/>
      <c r="CR58" s="114"/>
      <c r="CS58" s="114"/>
      <c r="CT58" s="114"/>
      <c r="CU58" s="114"/>
      <c r="CV58" s="114"/>
      <c r="CW58" s="114"/>
      <c r="CX58" s="114"/>
      <c r="CY58" s="114"/>
      <c r="CZ58" s="114"/>
      <c r="DA58" s="114"/>
      <c r="DB58" s="114"/>
      <c r="DC58" s="114"/>
      <c r="DD58" s="114"/>
      <c r="DE58" s="114"/>
      <c r="DF58" s="114"/>
      <c r="DG58" s="114"/>
      <c r="DH58" s="114"/>
      <c r="DI58" s="114"/>
      <c r="DJ58" s="114"/>
      <c r="DK58" s="114"/>
      <c r="DL58" s="114"/>
      <c r="DM58" s="114"/>
      <c r="DN58" s="114"/>
      <c r="DO58" s="114"/>
      <c r="DP58" s="114"/>
      <c r="DQ58" s="114"/>
      <c r="DR58" s="114"/>
      <c r="DS58" s="114"/>
      <c r="DT58" s="114"/>
      <c r="DU58" s="114"/>
      <c r="DV58" s="114"/>
      <c r="DW58" s="114"/>
      <c r="DX58" s="114"/>
      <c r="DY58" s="114"/>
      <c r="DZ58" s="114"/>
      <c r="EA58" s="114"/>
      <c r="EB58" s="114"/>
      <c r="EC58" s="114"/>
      <c r="ED58" s="114"/>
      <c r="EE58" s="114"/>
      <c r="EF58" s="114"/>
      <c r="EG58" s="114"/>
      <c r="EH58" s="114"/>
      <c r="EI58" s="114"/>
      <c r="EJ58" s="114"/>
      <c r="EK58" s="114"/>
      <c r="EL58" s="114"/>
      <c r="EM58" s="114"/>
      <c r="EN58" s="114"/>
      <c r="EO58" s="114"/>
      <c r="EP58" s="114"/>
      <c r="EQ58" s="114"/>
      <c r="ER58" s="114"/>
      <c r="ES58" s="114"/>
      <c r="ET58" s="114"/>
      <c r="EU58" s="114"/>
      <c r="EV58" s="114"/>
      <c r="EW58" s="114"/>
      <c r="EX58" s="114"/>
      <c r="EY58" s="114"/>
      <c r="EZ58" s="114"/>
      <c r="FA58" s="114"/>
      <c r="FB58" s="114"/>
      <c r="FC58" s="114"/>
      <c r="FD58" s="114"/>
      <c r="FE58" s="114"/>
      <c r="FF58" s="114"/>
      <c r="FG58" s="114"/>
      <c r="FH58" s="114"/>
      <c r="FI58" s="114"/>
      <c r="FJ58" s="114"/>
      <c r="FK58" s="114"/>
      <c r="FL58" s="114"/>
      <c r="FM58" s="114"/>
      <c r="FN58" s="114"/>
      <c r="FO58" s="114"/>
      <c r="FP58" s="114"/>
      <c r="FQ58" s="114"/>
      <c r="FR58" s="114"/>
      <c r="FS58" s="114"/>
      <c r="FT58" s="114"/>
      <c r="FU58" s="114"/>
      <c r="FV58" s="114"/>
      <c r="FW58" s="114"/>
      <c r="FX58" s="114"/>
      <c r="FY58" s="114"/>
      <c r="FZ58" s="114"/>
      <c r="GA58" s="114"/>
      <c r="GB58" s="114"/>
      <c r="GC58" s="114"/>
      <c r="GD58" s="114"/>
      <c r="GE58" s="114"/>
      <c r="GF58" s="114"/>
      <c r="GG58" s="114"/>
      <c r="GH58" s="114"/>
      <c r="GI58" s="114"/>
      <c r="GJ58" s="114"/>
      <c r="GK58" s="114"/>
      <c r="GL58" s="114"/>
      <c r="GM58" s="114"/>
      <c r="GN58" s="114"/>
      <c r="GO58" s="114"/>
      <c r="GP58" s="114"/>
      <c r="GQ58" s="114"/>
      <c r="GR58" s="114"/>
      <c r="GS58" s="114"/>
      <c r="GT58" s="114"/>
      <c r="GU58" s="114"/>
      <c r="GV58" s="114"/>
      <c r="GW58" s="114"/>
      <c r="GX58" s="114"/>
      <c r="GY58" s="114"/>
      <c r="GZ58" s="114"/>
      <c r="HA58" s="114"/>
      <c r="HB58" s="114"/>
      <c r="HC58" s="114"/>
      <c r="HD58" s="114"/>
      <c r="HE58" s="114"/>
      <c r="HF58" s="114"/>
      <c r="HG58" s="114"/>
      <c r="HH58" s="114"/>
      <c r="HI58" s="114"/>
      <c r="HJ58" s="114"/>
      <c r="HK58" s="114"/>
      <c r="HL58" s="114"/>
      <c r="HM58" s="114"/>
      <c r="HN58" s="114"/>
      <c r="HO58" s="114"/>
      <c r="HP58" s="114"/>
      <c r="HQ58" s="114"/>
      <c r="HR58" s="114"/>
      <c r="HS58" s="114"/>
      <c r="HT58" s="114"/>
      <c r="HU58" s="114"/>
      <c r="HV58" s="114"/>
      <c r="HW58" s="114"/>
      <c r="HX58" s="114"/>
      <c r="HY58" s="114"/>
      <c r="HZ58" s="114"/>
      <c r="IA58" s="114"/>
      <c r="IB58" s="114"/>
      <c r="IC58" s="114"/>
      <c r="ID58" s="114"/>
      <c r="IE58" s="114"/>
      <c r="IF58" s="114"/>
      <c r="IG58" s="114"/>
      <c r="IH58" s="114"/>
      <c r="II58" s="114"/>
      <c r="IJ58" s="114"/>
      <c r="IK58" s="114"/>
      <c r="IL58" s="114"/>
      <c r="IM58" s="114"/>
      <c r="IN58" s="114"/>
      <c r="IO58" s="114"/>
      <c r="IP58" s="114"/>
      <c r="IQ58" s="114"/>
      <c r="IR58" s="114"/>
      <c r="IS58" s="114"/>
      <c r="IT58" s="114"/>
      <c r="IU58" s="114"/>
      <c r="IV58" s="114"/>
      <c r="IW58" s="114"/>
    </row>
    <row r="59" spans="1:257" ht="6" customHeight="1" x14ac:dyDescent="0.25">
      <c r="D59" s="150"/>
      <c r="E59" s="150"/>
      <c r="F59" s="150"/>
      <c r="G59" s="150"/>
      <c r="H59" s="150"/>
      <c r="I59" s="150"/>
      <c r="J59" s="150"/>
    </row>
    <row r="60" spans="1:257" ht="12" customHeight="1" x14ac:dyDescent="0.25">
      <c r="A60" s="114" t="s">
        <v>223</v>
      </c>
      <c r="B60" s="114"/>
      <c r="C60" s="114"/>
      <c r="D60" s="114"/>
      <c r="E60" s="114"/>
      <c r="F60" s="114"/>
      <c r="G60" s="114"/>
      <c r="H60" s="151">
        <v>4</v>
      </c>
      <c r="I60" s="151"/>
      <c r="J60" s="114" t="s">
        <v>224</v>
      </c>
      <c r="K60" s="114"/>
      <c r="L60" s="114"/>
      <c r="M60" s="114"/>
      <c r="N60" s="114"/>
      <c r="O60" s="114"/>
      <c r="P60" s="114"/>
      <c r="Q60" s="114"/>
      <c r="R60" s="114"/>
      <c r="S60" s="114"/>
      <c r="T60" s="114"/>
      <c r="U60" s="114"/>
      <c r="V60" s="114"/>
      <c r="W60" s="114"/>
      <c r="X60" s="114"/>
      <c r="Y60" s="114"/>
      <c r="Z60" s="114"/>
      <c r="AA60" s="114"/>
      <c r="AB60" s="114"/>
      <c r="AC60" s="114"/>
      <c r="AD60" s="114"/>
      <c r="AE60" s="114"/>
      <c r="AF60" s="114"/>
      <c r="AG60" s="114"/>
      <c r="AH60" s="114"/>
      <c r="AI60" s="114"/>
      <c r="AJ60" s="114"/>
      <c r="AK60" s="114"/>
      <c r="AL60" s="114"/>
      <c r="AM60" s="114"/>
      <c r="AN60" s="114"/>
      <c r="AO60" s="114"/>
      <c r="AP60" s="114"/>
      <c r="AQ60" s="114"/>
      <c r="AR60" s="114"/>
      <c r="AS60" s="114"/>
      <c r="AT60" s="114"/>
      <c r="AU60" s="114"/>
      <c r="AV60" s="114"/>
      <c r="AW60" s="114"/>
      <c r="AX60" s="114"/>
      <c r="AY60" s="114"/>
      <c r="AZ60" s="114"/>
      <c r="BA60" s="114"/>
      <c r="BB60" s="114"/>
      <c r="BC60" s="114"/>
      <c r="BD60" s="114"/>
      <c r="BE60" s="114"/>
      <c r="BF60" s="114"/>
      <c r="BG60" s="114"/>
      <c r="BH60" s="114"/>
      <c r="BI60" s="114"/>
      <c r="BJ60" s="114"/>
      <c r="BK60" s="114"/>
      <c r="BL60" s="114"/>
      <c r="BM60" s="114"/>
      <c r="BN60" s="114"/>
      <c r="BO60" s="114"/>
      <c r="BP60" s="114"/>
      <c r="BQ60" s="114"/>
      <c r="BR60" s="114"/>
      <c r="BS60" s="114"/>
      <c r="BT60" s="114"/>
      <c r="BU60" s="114"/>
      <c r="BV60" s="114"/>
      <c r="BW60" s="114"/>
      <c r="BX60" s="114"/>
      <c r="BY60" s="114"/>
      <c r="BZ60" s="114"/>
      <c r="CA60" s="114"/>
      <c r="CB60" s="114"/>
      <c r="CC60" s="114"/>
      <c r="CD60" s="114"/>
      <c r="CE60" s="114"/>
      <c r="CF60" s="114"/>
      <c r="CG60" s="114"/>
      <c r="CH60" s="114"/>
      <c r="CI60" s="114"/>
      <c r="CJ60" s="114"/>
      <c r="CK60" s="114"/>
      <c r="CL60" s="114"/>
      <c r="CM60" s="114"/>
      <c r="CN60" s="114"/>
      <c r="CO60" s="114"/>
      <c r="CP60" s="114"/>
      <c r="CQ60" s="114"/>
      <c r="CR60" s="114"/>
      <c r="CS60" s="114"/>
      <c r="CT60" s="114"/>
      <c r="CU60" s="114"/>
      <c r="CV60" s="114"/>
      <c r="CW60" s="114"/>
      <c r="CX60" s="114"/>
      <c r="CY60" s="114"/>
      <c r="CZ60" s="114"/>
      <c r="DA60" s="114"/>
      <c r="DB60" s="114"/>
      <c r="DC60" s="114"/>
      <c r="DD60" s="114"/>
      <c r="DE60" s="114"/>
      <c r="DF60" s="114"/>
      <c r="DG60" s="114"/>
      <c r="DH60" s="114"/>
      <c r="DI60" s="114"/>
      <c r="DJ60" s="114"/>
      <c r="DK60" s="114"/>
      <c r="DL60" s="114"/>
      <c r="DM60" s="114"/>
      <c r="DN60" s="114"/>
      <c r="DO60" s="114"/>
      <c r="DP60" s="114"/>
      <c r="DQ60" s="114"/>
      <c r="DR60" s="114"/>
      <c r="DS60" s="114"/>
      <c r="DT60" s="114"/>
      <c r="DU60" s="114"/>
      <c r="DV60" s="114"/>
      <c r="DW60" s="114"/>
      <c r="DX60" s="114"/>
      <c r="DY60" s="114"/>
      <c r="DZ60" s="114"/>
      <c r="EA60" s="114"/>
      <c r="EB60" s="114"/>
      <c r="EC60" s="114"/>
      <c r="ED60" s="114"/>
      <c r="EE60" s="114"/>
      <c r="EF60" s="114"/>
      <c r="EG60" s="114"/>
      <c r="EH60" s="114"/>
      <c r="EI60" s="114"/>
      <c r="EJ60" s="114"/>
      <c r="EK60" s="114"/>
      <c r="EL60" s="114"/>
      <c r="EM60" s="114"/>
      <c r="EN60" s="114"/>
      <c r="EO60" s="114"/>
      <c r="EP60" s="114"/>
      <c r="EQ60" s="114"/>
      <c r="ER60" s="114"/>
      <c r="ES60" s="114"/>
      <c r="ET60" s="114"/>
      <c r="EU60" s="114"/>
      <c r="EV60" s="114"/>
      <c r="EW60" s="114"/>
      <c r="EX60" s="114"/>
      <c r="EY60" s="114"/>
      <c r="EZ60" s="114"/>
      <c r="FA60" s="114"/>
      <c r="FB60" s="114"/>
      <c r="FC60" s="114"/>
      <c r="FD60" s="114"/>
      <c r="FE60" s="114"/>
      <c r="FF60" s="114"/>
      <c r="FG60" s="114"/>
      <c r="FH60" s="114"/>
      <c r="FI60" s="114"/>
      <c r="FJ60" s="114"/>
      <c r="FK60" s="114"/>
      <c r="FL60" s="114"/>
      <c r="FM60" s="114"/>
      <c r="FN60" s="114"/>
      <c r="FO60" s="114"/>
      <c r="FP60" s="114"/>
      <c r="FQ60" s="114"/>
      <c r="FR60" s="114"/>
      <c r="FS60" s="114"/>
      <c r="FT60" s="114"/>
      <c r="FU60" s="114"/>
      <c r="FV60" s="114"/>
      <c r="FW60" s="114"/>
      <c r="FX60" s="114"/>
      <c r="FY60" s="114"/>
      <c r="FZ60" s="114"/>
      <c r="GA60" s="114"/>
      <c r="GB60" s="114"/>
      <c r="GC60" s="114"/>
      <c r="GD60" s="114"/>
      <c r="GE60" s="114"/>
      <c r="GF60" s="114"/>
      <c r="GG60" s="114"/>
      <c r="GH60" s="114"/>
      <c r="GI60" s="114"/>
      <c r="GJ60" s="114"/>
      <c r="GK60" s="114"/>
      <c r="GL60" s="114"/>
      <c r="GM60" s="114"/>
      <c r="GN60" s="114"/>
      <c r="GO60" s="114"/>
      <c r="GP60" s="114"/>
      <c r="GQ60" s="114"/>
      <c r="GR60" s="114"/>
      <c r="GS60" s="114"/>
      <c r="GT60" s="114"/>
      <c r="GU60" s="114"/>
      <c r="GV60" s="114"/>
      <c r="GW60" s="114"/>
      <c r="GX60" s="114"/>
      <c r="GY60" s="114"/>
      <c r="GZ60" s="114"/>
      <c r="HA60" s="114"/>
      <c r="HB60" s="114"/>
      <c r="HC60" s="114"/>
      <c r="HD60" s="114"/>
      <c r="HE60" s="114"/>
      <c r="HF60" s="114"/>
      <c r="HG60" s="114"/>
      <c r="HH60" s="114"/>
      <c r="HI60" s="114"/>
      <c r="HJ60" s="114"/>
      <c r="HK60" s="114"/>
      <c r="HL60" s="114"/>
      <c r="HM60" s="114"/>
      <c r="HN60" s="114"/>
      <c r="HO60" s="114"/>
      <c r="HP60" s="114"/>
      <c r="HQ60" s="114"/>
      <c r="HR60" s="114"/>
      <c r="HS60" s="114"/>
      <c r="HT60" s="114"/>
      <c r="HU60" s="114"/>
      <c r="HV60" s="114"/>
      <c r="HW60" s="114"/>
      <c r="HX60" s="114"/>
      <c r="HY60" s="114"/>
      <c r="HZ60" s="114"/>
      <c r="IA60" s="114"/>
      <c r="IB60" s="114"/>
      <c r="IC60" s="114"/>
      <c r="ID60" s="114"/>
      <c r="IE60" s="114"/>
      <c r="IF60" s="114"/>
      <c r="IG60" s="114"/>
      <c r="IH60" s="114"/>
      <c r="II60" s="114"/>
      <c r="IJ60" s="114"/>
      <c r="IK60" s="114"/>
      <c r="IL60" s="114"/>
      <c r="IM60" s="114"/>
      <c r="IN60" s="114"/>
      <c r="IO60" s="114"/>
      <c r="IP60" s="114"/>
      <c r="IQ60" s="114"/>
      <c r="IR60" s="114"/>
      <c r="IS60" s="114"/>
      <c r="IT60" s="114"/>
      <c r="IU60" s="114"/>
      <c r="IV60" s="114"/>
      <c r="IW60" s="114"/>
    </row>
    <row r="61" spans="1:257" ht="4.5" customHeight="1" x14ac:dyDescent="0.25"/>
    <row r="62" spans="1:257" ht="12" customHeight="1" x14ac:dyDescent="0.25">
      <c r="A62" s="114" t="s">
        <v>225</v>
      </c>
    </row>
    <row r="63" spans="1:257" ht="12" customHeight="1" x14ac:dyDescent="0.25">
      <c r="A63" s="152" t="str">
        <f>'[1]АОСР (2)'!A64:AJ64</f>
        <v>1. Исполнительный чертеж ЗП № (по адресу: )</v>
      </c>
      <c r="B63" s="152"/>
      <c r="C63" s="152"/>
      <c r="D63" s="152"/>
      <c r="E63" s="152"/>
      <c r="F63" s="152"/>
      <c r="G63" s="152"/>
      <c r="H63" s="152"/>
      <c r="I63" s="152"/>
      <c r="J63" s="152"/>
      <c r="K63" s="152"/>
      <c r="L63" s="152"/>
      <c r="M63" s="152"/>
      <c r="N63" s="152"/>
      <c r="O63" s="152"/>
      <c r="P63" s="152"/>
      <c r="Q63" s="152"/>
      <c r="R63" s="152"/>
      <c r="S63" s="152"/>
      <c r="T63" s="152"/>
      <c r="U63" s="152"/>
      <c r="V63" s="152"/>
      <c r="W63" s="152"/>
      <c r="X63" s="152"/>
      <c r="Y63" s="152"/>
      <c r="Z63" s="152"/>
      <c r="AA63" s="152"/>
      <c r="AB63" s="152"/>
      <c r="AC63" s="152"/>
      <c r="AD63" s="152"/>
      <c r="AE63" s="152"/>
      <c r="AF63" s="152"/>
      <c r="AG63" s="152"/>
      <c r="AH63" s="152"/>
      <c r="AI63" s="152"/>
      <c r="AJ63" s="152"/>
    </row>
    <row r="64" spans="1:257" ht="12" customHeight="1" x14ac:dyDescent="0.25">
      <c r="A64" s="152"/>
      <c r="B64" s="152"/>
      <c r="C64" s="152"/>
      <c r="D64" s="152"/>
      <c r="E64" s="152"/>
      <c r="F64" s="152"/>
      <c r="G64" s="152"/>
      <c r="H64" s="152"/>
      <c r="I64" s="152"/>
      <c r="J64" s="152"/>
      <c r="K64" s="152"/>
      <c r="L64" s="152"/>
      <c r="M64" s="152"/>
      <c r="N64" s="152"/>
      <c r="O64" s="152"/>
      <c r="P64" s="152"/>
      <c r="Q64" s="152"/>
      <c r="R64" s="152"/>
      <c r="S64" s="152"/>
      <c r="T64" s="152"/>
      <c r="U64" s="152"/>
      <c r="V64" s="152"/>
      <c r="W64" s="152"/>
      <c r="X64" s="152"/>
      <c r="Y64" s="152"/>
      <c r="Z64" s="152"/>
      <c r="AA64" s="152"/>
      <c r="AB64" s="152"/>
      <c r="AC64" s="152"/>
      <c r="AD64" s="152"/>
      <c r="AE64" s="152"/>
      <c r="AF64" s="152"/>
      <c r="AG64" s="152"/>
      <c r="AH64" s="152"/>
      <c r="AI64" s="152"/>
      <c r="AJ64" s="152"/>
    </row>
    <row r="65" spans="1:257" ht="9.75" customHeight="1" x14ac:dyDescent="0.25">
      <c r="A65" s="153" t="s">
        <v>226</v>
      </c>
      <c r="B65" s="153"/>
      <c r="C65" s="153"/>
      <c r="D65" s="153"/>
      <c r="E65" s="153"/>
      <c r="F65" s="153"/>
      <c r="G65" s="153"/>
      <c r="H65" s="153"/>
      <c r="I65" s="153"/>
      <c r="J65" s="153"/>
      <c r="K65" s="153"/>
      <c r="L65" s="153"/>
      <c r="M65" s="153"/>
      <c r="N65" s="153"/>
      <c r="O65" s="153"/>
      <c r="P65" s="153"/>
      <c r="Q65" s="153"/>
      <c r="R65" s="153"/>
      <c r="S65" s="153"/>
      <c r="T65" s="153"/>
      <c r="U65" s="153"/>
      <c r="V65" s="153"/>
      <c r="W65" s="153"/>
      <c r="X65" s="153"/>
      <c r="Y65" s="153"/>
      <c r="Z65" s="153"/>
      <c r="AA65" s="153"/>
      <c r="AB65" s="153"/>
      <c r="AC65" s="153"/>
      <c r="AD65" s="153"/>
      <c r="AE65" s="153"/>
      <c r="AF65" s="153"/>
      <c r="AG65" s="153"/>
      <c r="AH65" s="153"/>
      <c r="AI65" s="153"/>
      <c r="AJ65" s="153"/>
    </row>
    <row r="66" spans="1:257" ht="4.5" customHeight="1" x14ac:dyDescent="0.25">
      <c r="A66" s="154"/>
      <c r="B66" s="154"/>
      <c r="C66" s="154"/>
      <c r="D66" s="154"/>
      <c r="E66" s="154"/>
      <c r="F66" s="154"/>
      <c r="G66" s="154"/>
      <c r="H66" s="154"/>
      <c r="I66" s="154"/>
      <c r="J66" s="154"/>
      <c r="K66" s="154"/>
      <c r="L66" s="154"/>
      <c r="M66" s="154"/>
      <c r="N66" s="154"/>
      <c r="O66" s="154"/>
      <c r="P66" s="154"/>
      <c r="Q66" s="154"/>
      <c r="R66" s="154"/>
      <c r="S66" s="154"/>
      <c r="T66" s="154"/>
      <c r="U66" s="154"/>
      <c r="V66" s="154"/>
      <c r="W66" s="154"/>
      <c r="X66" s="154"/>
      <c r="Y66" s="154"/>
      <c r="Z66" s="154"/>
      <c r="AA66" s="154"/>
      <c r="AB66" s="154"/>
      <c r="AC66" s="154"/>
      <c r="AD66" s="154"/>
      <c r="AE66" s="154"/>
      <c r="AF66" s="154"/>
      <c r="AG66" s="154"/>
      <c r="AH66" s="154"/>
      <c r="AI66" s="154"/>
      <c r="AJ66" s="154"/>
    </row>
    <row r="67" spans="1:257" ht="8.25" customHeight="1" x14ac:dyDescent="0.25">
      <c r="A67" s="122" t="s">
        <v>227</v>
      </c>
      <c r="B67" s="122"/>
      <c r="C67" s="122"/>
      <c r="D67" s="122"/>
      <c r="E67" s="122"/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  <c r="AA67" s="122"/>
      <c r="AB67" s="122"/>
      <c r="AC67" s="122"/>
      <c r="AD67" s="122"/>
      <c r="AE67" s="122"/>
      <c r="AF67" s="122"/>
      <c r="AG67" s="122"/>
      <c r="AH67" s="122"/>
      <c r="AI67" s="122"/>
      <c r="AJ67" s="122"/>
    </row>
    <row r="68" spans="1:257" ht="13.5" customHeight="1" x14ac:dyDescent="0.25">
      <c r="A68" s="114" t="s">
        <v>228</v>
      </c>
    </row>
    <row r="69" spans="1:257" ht="12" customHeight="1" x14ac:dyDescent="0.25">
      <c r="A69" s="114" t="s">
        <v>229</v>
      </c>
    </row>
    <row r="70" spans="1:257" ht="35.25" customHeight="1" x14ac:dyDescent="0.3">
      <c r="A70" s="130"/>
      <c r="B70" s="130"/>
      <c r="C70" s="130"/>
      <c r="D70" s="130"/>
      <c r="E70" s="130"/>
      <c r="F70" s="130"/>
      <c r="G70" s="130"/>
      <c r="H70" s="130"/>
      <c r="I70" s="130"/>
      <c r="J70" s="130"/>
      <c r="K70" s="130"/>
      <c r="L70" s="130"/>
      <c r="M70" s="130"/>
      <c r="N70" s="130"/>
      <c r="O70" s="130"/>
      <c r="P70" s="155"/>
      <c r="Q70" s="155"/>
      <c r="R70" s="155"/>
      <c r="S70" s="155"/>
      <c r="T70" s="155"/>
      <c r="U70" s="155"/>
      <c r="V70" s="155"/>
      <c r="W70" s="155"/>
      <c r="X70" s="155"/>
      <c r="Y70" s="155"/>
      <c r="Z70" s="155"/>
      <c r="AA70" s="155"/>
      <c r="AB70" s="130"/>
      <c r="AC70" s="130"/>
      <c r="AD70" s="130"/>
      <c r="AE70" s="130"/>
      <c r="AF70" s="130"/>
      <c r="AG70" s="130"/>
      <c r="AH70" s="130"/>
      <c r="AI70" s="130"/>
      <c r="AJ70" s="130"/>
    </row>
    <row r="71" spans="1:257" ht="10.5" customHeight="1" x14ac:dyDescent="0.25">
      <c r="A71" s="139" t="s">
        <v>230</v>
      </c>
      <c r="B71" s="139"/>
      <c r="C71" s="139"/>
      <c r="D71" s="139"/>
      <c r="E71" s="139"/>
      <c r="F71" s="139"/>
      <c r="G71" s="139"/>
      <c r="H71" s="139"/>
      <c r="I71" s="139"/>
      <c r="J71" s="139"/>
      <c r="K71" s="139"/>
      <c r="L71" s="139"/>
      <c r="M71" s="139"/>
      <c r="N71" s="139"/>
      <c r="O71" s="139"/>
      <c r="P71" s="156"/>
      <c r="Q71" s="156"/>
      <c r="R71" s="156"/>
      <c r="S71" s="156"/>
      <c r="T71" s="156"/>
      <c r="U71" s="157"/>
      <c r="V71" s="157"/>
      <c r="W71" s="157"/>
      <c r="X71" s="157"/>
      <c r="Y71" s="157"/>
      <c r="Z71" s="157"/>
      <c r="AA71" s="157"/>
      <c r="AB71" s="147" t="s">
        <v>231</v>
      </c>
      <c r="AC71" s="147"/>
      <c r="AD71" s="147"/>
      <c r="AE71" s="147"/>
      <c r="AF71" s="147"/>
      <c r="AG71" s="147"/>
      <c r="AH71" s="147"/>
      <c r="AI71" s="147"/>
      <c r="AJ71" s="147"/>
    </row>
    <row r="72" spans="1:257" ht="11.25" customHeight="1" x14ac:dyDescent="0.25">
      <c r="A72" s="137" t="s">
        <v>232</v>
      </c>
      <c r="B72" s="137"/>
      <c r="C72" s="137"/>
      <c r="D72" s="137"/>
      <c r="E72" s="137"/>
      <c r="F72" s="137"/>
      <c r="G72" s="137"/>
      <c r="H72" s="137"/>
      <c r="I72" s="137"/>
      <c r="J72" s="137"/>
      <c r="K72" s="137"/>
      <c r="L72" s="137"/>
      <c r="M72" s="137"/>
      <c r="N72" s="137"/>
      <c r="O72" s="137"/>
      <c r="P72" s="137"/>
      <c r="Q72" s="137"/>
      <c r="R72" s="137"/>
      <c r="S72" s="137"/>
      <c r="T72" s="137"/>
      <c r="U72" s="137"/>
      <c r="V72" s="137"/>
      <c r="W72" s="137"/>
      <c r="X72" s="137"/>
      <c r="Y72" s="137"/>
      <c r="Z72" s="137"/>
      <c r="AA72" s="137"/>
      <c r="AB72" s="137"/>
      <c r="AC72" s="137"/>
      <c r="AD72" s="137"/>
      <c r="AE72" s="137"/>
      <c r="AF72" s="137"/>
      <c r="AG72" s="137"/>
      <c r="AH72" s="137"/>
      <c r="AI72" s="137"/>
      <c r="AJ72" s="137"/>
    </row>
    <row r="73" spans="1:257" ht="33" customHeight="1" x14ac:dyDescent="0.3">
      <c r="A73" s="130"/>
      <c r="B73" s="130"/>
      <c r="C73" s="130"/>
      <c r="D73" s="130"/>
      <c r="E73" s="130"/>
      <c r="F73" s="130"/>
      <c r="G73" s="130"/>
      <c r="H73" s="130"/>
      <c r="I73" s="130"/>
      <c r="J73" s="130"/>
      <c r="K73" s="130"/>
      <c r="L73" s="130"/>
      <c r="M73" s="130"/>
      <c r="N73" s="130"/>
      <c r="O73" s="130"/>
      <c r="P73" s="155"/>
      <c r="Q73" s="155"/>
      <c r="R73" s="155"/>
      <c r="S73" s="155"/>
      <c r="T73" s="155"/>
      <c r="U73" s="155"/>
      <c r="V73" s="155"/>
      <c r="W73" s="155"/>
      <c r="X73" s="155"/>
      <c r="Y73" s="155"/>
      <c r="Z73" s="155"/>
      <c r="AA73" s="155"/>
      <c r="AB73" s="158"/>
      <c r="AC73" s="158"/>
      <c r="AD73" s="158"/>
      <c r="AE73" s="158"/>
      <c r="AF73" s="158"/>
      <c r="AG73" s="158"/>
      <c r="AH73" s="158"/>
      <c r="AI73" s="158"/>
      <c r="AJ73" s="158"/>
    </row>
    <row r="74" spans="1:257" ht="9.75" customHeight="1" x14ac:dyDescent="0.25">
      <c r="A74" s="139" t="s">
        <v>230</v>
      </c>
      <c r="B74" s="139"/>
      <c r="C74" s="139"/>
      <c r="D74" s="139"/>
      <c r="E74" s="139"/>
      <c r="F74" s="139"/>
      <c r="G74" s="139"/>
      <c r="H74" s="139"/>
      <c r="I74" s="139"/>
      <c r="J74" s="139"/>
      <c r="K74" s="139"/>
      <c r="L74" s="139"/>
      <c r="M74" s="139"/>
      <c r="N74" s="139"/>
      <c r="O74" s="139"/>
      <c r="P74" s="156"/>
      <c r="Q74" s="156"/>
      <c r="R74" s="156"/>
      <c r="S74" s="156"/>
      <c r="T74" s="156"/>
      <c r="U74" s="157"/>
      <c r="V74" s="157"/>
      <c r="W74" s="157"/>
      <c r="X74" s="157"/>
      <c r="Y74" s="157"/>
      <c r="Z74" s="157"/>
      <c r="AA74" s="157"/>
      <c r="AB74" s="147" t="s">
        <v>231</v>
      </c>
      <c r="AC74" s="147"/>
      <c r="AD74" s="147"/>
      <c r="AE74" s="147"/>
      <c r="AF74" s="147"/>
      <c r="AG74" s="147"/>
      <c r="AH74" s="147"/>
      <c r="AI74" s="147"/>
      <c r="AJ74" s="147"/>
    </row>
    <row r="75" spans="1:257" ht="10.5" customHeight="1" x14ac:dyDescent="0.25">
      <c r="A75" s="159" t="s">
        <v>199</v>
      </c>
      <c r="B75" s="159"/>
      <c r="C75" s="159"/>
      <c r="D75" s="159"/>
      <c r="E75" s="159"/>
      <c r="F75" s="159"/>
      <c r="G75" s="159"/>
      <c r="H75" s="159"/>
      <c r="I75" s="159"/>
      <c r="J75" s="159"/>
      <c r="K75" s="159"/>
      <c r="L75" s="159"/>
      <c r="M75" s="159"/>
      <c r="N75" s="159"/>
      <c r="O75" s="159"/>
      <c r="P75" s="159"/>
      <c r="Q75" s="159"/>
      <c r="R75" s="159"/>
      <c r="S75" s="159"/>
      <c r="T75" s="159"/>
      <c r="U75" s="159"/>
      <c r="V75" s="159"/>
      <c r="W75" s="159"/>
      <c r="X75" s="159"/>
      <c r="Y75" s="159"/>
      <c r="Z75" s="159"/>
      <c r="AA75" s="159"/>
      <c r="AB75" s="159"/>
      <c r="AC75" s="159"/>
      <c r="AD75" s="159"/>
      <c r="AE75" s="159"/>
      <c r="AF75" s="159"/>
      <c r="AG75" s="159"/>
      <c r="AH75" s="159"/>
      <c r="AI75" s="159"/>
      <c r="AJ75" s="159"/>
    </row>
    <row r="76" spans="1:257" ht="24.75" customHeight="1" x14ac:dyDescent="0.3">
      <c r="A76" s="130"/>
      <c r="B76" s="130"/>
      <c r="C76" s="130"/>
      <c r="D76" s="130"/>
      <c r="E76" s="130"/>
      <c r="F76" s="130"/>
      <c r="G76" s="130"/>
      <c r="H76" s="130"/>
      <c r="I76" s="130"/>
      <c r="J76" s="130"/>
      <c r="K76" s="130"/>
      <c r="L76" s="130"/>
      <c r="M76" s="130"/>
      <c r="N76" s="130"/>
      <c r="O76" s="130"/>
      <c r="P76" s="155"/>
      <c r="Q76" s="155"/>
      <c r="R76" s="155"/>
      <c r="S76" s="155"/>
      <c r="T76" s="155"/>
      <c r="U76" s="155"/>
      <c r="V76" s="155"/>
      <c r="W76" s="155"/>
      <c r="X76" s="155"/>
      <c r="Y76" s="155"/>
      <c r="Z76" s="155"/>
      <c r="AA76" s="155"/>
      <c r="AB76" s="130"/>
      <c r="AC76" s="130"/>
      <c r="AD76" s="130"/>
      <c r="AE76" s="130"/>
      <c r="AF76" s="130"/>
      <c r="AG76" s="130"/>
      <c r="AH76" s="130"/>
      <c r="AI76" s="130"/>
      <c r="AJ76" s="130"/>
      <c r="AK76" s="159"/>
      <c r="AL76" s="159"/>
      <c r="AM76" s="159"/>
      <c r="AN76" s="159"/>
      <c r="AO76" s="159"/>
      <c r="AP76" s="159"/>
      <c r="AQ76" s="159"/>
      <c r="AR76" s="159"/>
      <c r="AS76" s="159"/>
      <c r="AT76" s="159"/>
      <c r="AU76" s="159"/>
      <c r="AV76" s="159"/>
      <c r="AW76" s="159"/>
      <c r="AX76" s="159"/>
      <c r="AY76" s="159"/>
      <c r="AZ76" s="159"/>
      <c r="BA76" s="159"/>
      <c r="BB76" s="159"/>
      <c r="BC76" s="159"/>
      <c r="BD76" s="159"/>
      <c r="BE76" s="159"/>
      <c r="BF76" s="159"/>
      <c r="BG76" s="159"/>
      <c r="BH76" s="159"/>
      <c r="BI76" s="159"/>
      <c r="BJ76" s="159"/>
      <c r="BK76" s="159"/>
      <c r="BL76" s="159"/>
      <c r="BM76" s="159"/>
      <c r="BN76" s="159"/>
      <c r="BO76" s="159"/>
      <c r="BP76" s="159"/>
      <c r="BQ76" s="159"/>
      <c r="BR76" s="159"/>
      <c r="BS76" s="159"/>
      <c r="BT76" s="159"/>
      <c r="BU76" s="159"/>
      <c r="BV76" s="159"/>
      <c r="BW76" s="159"/>
      <c r="BX76" s="159"/>
      <c r="BY76" s="159"/>
      <c r="BZ76" s="159"/>
      <c r="CA76" s="159"/>
      <c r="CB76" s="159"/>
      <c r="CC76" s="159"/>
      <c r="CD76" s="159"/>
      <c r="CE76" s="159"/>
      <c r="CF76" s="159"/>
      <c r="CG76" s="159"/>
      <c r="CH76" s="159"/>
      <c r="CI76" s="159"/>
      <c r="CJ76" s="159"/>
      <c r="CK76" s="159"/>
      <c r="CL76" s="159"/>
      <c r="CM76" s="159"/>
      <c r="CN76" s="159"/>
      <c r="CO76" s="159"/>
      <c r="CP76" s="159"/>
      <c r="CQ76" s="159"/>
      <c r="CR76" s="159"/>
      <c r="CS76" s="159"/>
      <c r="CT76" s="159"/>
      <c r="CU76" s="159"/>
      <c r="CV76" s="159"/>
      <c r="CW76" s="159"/>
      <c r="CX76" s="159"/>
      <c r="CY76" s="159"/>
      <c r="CZ76" s="159"/>
      <c r="DA76" s="159"/>
      <c r="DB76" s="159"/>
      <c r="DC76" s="159"/>
      <c r="DD76" s="159"/>
      <c r="DE76" s="159"/>
      <c r="DF76" s="159"/>
      <c r="DG76" s="159"/>
      <c r="DH76" s="159"/>
      <c r="DI76" s="159"/>
      <c r="DJ76" s="159"/>
      <c r="DK76" s="159"/>
      <c r="DL76" s="159"/>
      <c r="DM76" s="159"/>
      <c r="DN76" s="159"/>
      <c r="DO76" s="159"/>
      <c r="DP76" s="159"/>
      <c r="DQ76" s="159"/>
      <c r="DR76" s="159"/>
      <c r="DS76" s="159"/>
      <c r="DT76" s="159"/>
      <c r="DU76" s="159"/>
      <c r="DV76" s="159"/>
      <c r="DW76" s="159"/>
      <c r="DX76" s="159"/>
      <c r="DY76" s="159"/>
      <c r="DZ76" s="159"/>
      <c r="EA76" s="159"/>
      <c r="EB76" s="159"/>
      <c r="EC76" s="159"/>
      <c r="ED76" s="159"/>
      <c r="EE76" s="159"/>
      <c r="EF76" s="159"/>
      <c r="EG76" s="159"/>
      <c r="EH76" s="159"/>
      <c r="EI76" s="159"/>
      <c r="EJ76" s="159"/>
      <c r="EK76" s="159"/>
      <c r="EL76" s="159"/>
      <c r="EM76" s="159"/>
      <c r="EN76" s="159"/>
      <c r="EO76" s="159"/>
      <c r="EP76" s="159"/>
      <c r="EQ76" s="159"/>
      <c r="ER76" s="159"/>
      <c r="ES76" s="159"/>
      <c r="ET76" s="159"/>
      <c r="EU76" s="159"/>
      <c r="EV76" s="159"/>
      <c r="EW76" s="159"/>
      <c r="EX76" s="159"/>
      <c r="EY76" s="159"/>
      <c r="EZ76" s="159"/>
      <c r="FA76" s="159"/>
      <c r="FB76" s="159"/>
      <c r="FC76" s="159"/>
      <c r="FD76" s="159"/>
      <c r="FE76" s="159"/>
      <c r="FF76" s="159"/>
      <c r="FG76" s="159"/>
      <c r="FH76" s="159"/>
      <c r="FI76" s="159"/>
      <c r="FJ76" s="159"/>
      <c r="FK76" s="159"/>
      <c r="FL76" s="159"/>
      <c r="FM76" s="159"/>
      <c r="FN76" s="159"/>
      <c r="FO76" s="159"/>
      <c r="FP76" s="159"/>
      <c r="FQ76" s="159"/>
      <c r="FR76" s="159"/>
      <c r="FS76" s="159"/>
      <c r="FT76" s="159"/>
      <c r="FU76" s="159"/>
      <c r="FV76" s="159"/>
      <c r="FW76" s="159"/>
      <c r="FX76" s="159"/>
      <c r="FY76" s="159"/>
      <c r="FZ76" s="159"/>
      <c r="GA76" s="159"/>
      <c r="GB76" s="159"/>
      <c r="GC76" s="159"/>
      <c r="GD76" s="159"/>
      <c r="GE76" s="159"/>
      <c r="GF76" s="159"/>
      <c r="GG76" s="159"/>
      <c r="GH76" s="159"/>
      <c r="GI76" s="159"/>
      <c r="GJ76" s="159"/>
      <c r="GK76" s="159"/>
      <c r="GL76" s="159"/>
      <c r="GM76" s="159"/>
      <c r="GN76" s="159"/>
      <c r="GO76" s="159"/>
      <c r="GP76" s="159"/>
      <c r="GQ76" s="159"/>
      <c r="GR76" s="159"/>
      <c r="GS76" s="159"/>
      <c r="GT76" s="159"/>
      <c r="GU76" s="159"/>
      <c r="GV76" s="159"/>
      <c r="GW76" s="159"/>
      <c r="GX76" s="159"/>
      <c r="GY76" s="159"/>
      <c r="GZ76" s="159"/>
      <c r="HA76" s="159"/>
      <c r="HB76" s="159"/>
      <c r="HC76" s="159"/>
      <c r="HD76" s="159"/>
      <c r="HE76" s="159"/>
      <c r="HF76" s="159"/>
      <c r="HG76" s="159"/>
      <c r="HH76" s="159"/>
      <c r="HI76" s="159"/>
      <c r="HJ76" s="159"/>
      <c r="HK76" s="159"/>
      <c r="HL76" s="159"/>
      <c r="HM76" s="159"/>
      <c r="HN76" s="159"/>
      <c r="HO76" s="159"/>
      <c r="HP76" s="159"/>
      <c r="HQ76" s="159"/>
      <c r="HR76" s="159"/>
      <c r="HS76" s="159"/>
      <c r="HT76" s="159"/>
      <c r="HU76" s="159"/>
      <c r="HV76" s="159"/>
      <c r="HW76" s="159"/>
      <c r="HX76" s="159"/>
      <c r="HY76" s="159"/>
      <c r="HZ76" s="159"/>
      <c r="IA76" s="159"/>
      <c r="IB76" s="159"/>
      <c r="IC76" s="159"/>
      <c r="ID76" s="159"/>
      <c r="IE76" s="159"/>
      <c r="IF76" s="159"/>
      <c r="IG76" s="159"/>
      <c r="IH76" s="159"/>
      <c r="II76" s="159"/>
      <c r="IJ76" s="159"/>
      <c r="IK76" s="159"/>
      <c r="IL76" s="159"/>
      <c r="IM76" s="159"/>
      <c r="IN76" s="159"/>
      <c r="IO76" s="159"/>
      <c r="IP76" s="159"/>
      <c r="IQ76" s="159"/>
      <c r="IR76" s="159"/>
      <c r="IS76" s="159"/>
      <c r="IT76" s="159"/>
      <c r="IU76" s="159"/>
      <c r="IV76" s="159"/>
      <c r="IW76" s="159"/>
    </row>
    <row r="77" spans="1:257" ht="9" customHeight="1" x14ac:dyDescent="0.25">
      <c r="A77" s="139" t="s">
        <v>230</v>
      </c>
      <c r="B77" s="139"/>
      <c r="C77" s="139"/>
      <c r="D77" s="139"/>
      <c r="E77" s="139"/>
      <c r="F77" s="139"/>
      <c r="G77" s="139"/>
      <c r="H77" s="139"/>
      <c r="I77" s="139"/>
      <c r="J77" s="139"/>
      <c r="K77" s="139"/>
      <c r="L77" s="139"/>
      <c r="M77" s="139"/>
      <c r="N77" s="139"/>
      <c r="O77" s="139"/>
      <c r="P77" s="156"/>
      <c r="Q77" s="156"/>
      <c r="R77" s="156"/>
      <c r="S77" s="156"/>
      <c r="T77" s="156"/>
      <c r="U77" s="157"/>
      <c r="V77" s="157"/>
      <c r="W77" s="157"/>
      <c r="X77" s="157"/>
      <c r="Y77" s="157"/>
      <c r="Z77" s="157"/>
      <c r="AA77" s="157"/>
      <c r="AB77" s="147" t="s">
        <v>231</v>
      </c>
      <c r="AC77" s="147"/>
      <c r="AD77" s="147"/>
      <c r="AE77" s="147"/>
      <c r="AF77" s="147"/>
      <c r="AG77" s="147"/>
      <c r="AH77" s="147"/>
      <c r="AI77" s="147"/>
      <c r="AJ77" s="147"/>
    </row>
    <row r="78" spans="1:257" ht="12.75" customHeight="1" x14ac:dyDescent="0.25">
      <c r="A78" s="159" t="s">
        <v>233</v>
      </c>
    </row>
    <row r="79" spans="1:257" ht="10.5" customHeight="1" x14ac:dyDescent="0.25">
      <c r="A79" s="159" t="s">
        <v>234</v>
      </c>
    </row>
    <row r="80" spans="1:257" ht="21.75" customHeight="1" x14ac:dyDescent="0.3">
      <c r="A80" s="130"/>
      <c r="B80" s="130"/>
      <c r="C80" s="130"/>
      <c r="D80" s="130"/>
      <c r="E80" s="130"/>
      <c r="F80" s="130"/>
      <c r="G80" s="130"/>
      <c r="H80" s="130"/>
      <c r="I80" s="130"/>
      <c r="J80" s="130"/>
      <c r="K80" s="130"/>
      <c r="L80" s="130"/>
      <c r="M80" s="130"/>
      <c r="N80" s="130"/>
      <c r="O80" s="130"/>
      <c r="P80" s="155"/>
      <c r="Q80" s="155"/>
      <c r="R80" s="155"/>
      <c r="S80" s="155"/>
      <c r="T80" s="155"/>
      <c r="U80" s="155"/>
      <c r="V80" s="155"/>
      <c r="W80" s="155"/>
      <c r="X80" s="155"/>
      <c r="Y80" s="155"/>
      <c r="Z80" s="155"/>
      <c r="AA80" s="155"/>
      <c r="AB80" s="130"/>
      <c r="AC80" s="130"/>
      <c r="AD80" s="130"/>
      <c r="AE80" s="130"/>
      <c r="AF80" s="130"/>
      <c r="AG80" s="130"/>
      <c r="AH80" s="130"/>
      <c r="AI80" s="130"/>
      <c r="AJ80" s="130"/>
    </row>
    <row r="81" spans="1:36" ht="8.25" customHeight="1" x14ac:dyDescent="0.25">
      <c r="A81" s="139" t="s">
        <v>230</v>
      </c>
      <c r="B81" s="139"/>
      <c r="C81" s="139"/>
      <c r="D81" s="139"/>
      <c r="E81" s="139"/>
      <c r="F81" s="139"/>
      <c r="G81" s="139"/>
      <c r="H81" s="139"/>
      <c r="I81" s="139"/>
      <c r="J81" s="139"/>
      <c r="K81" s="139"/>
      <c r="L81" s="139"/>
      <c r="M81" s="139"/>
      <c r="N81" s="139"/>
      <c r="O81" s="139"/>
      <c r="P81" s="156"/>
      <c r="Q81" s="156"/>
      <c r="R81" s="156"/>
      <c r="S81" s="156"/>
      <c r="T81" s="156"/>
      <c r="U81" s="157"/>
      <c r="V81" s="157"/>
      <c r="W81" s="157"/>
      <c r="X81" s="157"/>
      <c r="Y81" s="157"/>
      <c r="Z81" s="157"/>
      <c r="AA81" s="157"/>
      <c r="AB81" s="147" t="s">
        <v>231</v>
      </c>
      <c r="AC81" s="147"/>
      <c r="AD81" s="147"/>
      <c r="AE81" s="147"/>
      <c r="AF81" s="147"/>
      <c r="AG81" s="147"/>
      <c r="AH81" s="147"/>
      <c r="AI81" s="147"/>
      <c r="AJ81" s="147"/>
    </row>
    <row r="82" spans="1:36" ht="37.5" customHeight="1" x14ac:dyDescent="0.25">
      <c r="A82" s="160" t="s">
        <v>203</v>
      </c>
      <c r="B82" s="160"/>
      <c r="C82" s="160"/>
      <c r="D82" s="160"/>
      <c r="E82" s="160"/>
      <c r="F82" s="160"/>
      <c r="G82" s="160"/>
      <c r="H82" s="160"/>
      <c r="I82" s="160"/>
      <c r="J82" s="160"/>
      <c r="K82" s="160"/>
      <c r="L82" s="160"/>
      <c r="M82" s="160"/>
      <c r="N82" s="160"/>
      <c r="O82" s="160"/>
      <c r="P82" s="160"/>
      <c r="Q82" s="160"/>
      <c r="R82" s="160"/>
      <c r="S82" s="160"/>
      <c r="T82" s="160"/>
      <c r="U82" s="160"/>
      <c r="V82" s="160"/>
      <c r="W82" s="160"/>
      <c r="X82" s="160"/>
      <c r="Y82" s="160"/>
      <c r="Z82" s="160"/>
      <c r="AA82" s="160"/>
      <c r="AB82" s="160"/>
      <c r="AC82" s="160"/>
      <c r="AD82" s="160"/>
      <c r="AE82" s="160"/>
      <c r="AF82" s="160"/>
      <c r="AG82" s="160"/>
      <c r="AH82" s="160"/>
      <c r="AI82" s="160"/>
      <c r="AJ82" s="160"/>
    </row>
    <row r="83" spans="1:36" ht="15" customHeight="1" x14ac:dyDescent="0.3">
      <c r="A83" s="130"/>
      <c r="B83" s="130"/>
      <c r="C83" s="130"/>
      <c r="D83" s="130"/>
      <c r="E83" s="130"/>
      <c r="F83" s="130"/>
      <c r="G83" s="130"/>
      <c r="H83" s="130"/>
      <c r="I83" s="130"/>
      <c r="J83" s="130"/>
      <c r="K83" s="130"/>
      <c r="L83" s="130"/>
      <c r="M83" s="130"/>
      <c r="N83" s="130"/>
      <c r="O83" s="130"/>
      <c r="P83" s="155"/>
      <c r="Q83" s="155"/>
      <c r="R83" s="155"/>
      <c r="S83" s="155"/>
      <c r="T83" s="155"/>
      <c r="U83" s="155"/>
      <c r="V83" s="155"/>
      <c r="W83" s="155"/>
      <c r="X83" s="155"/>
      <c r="Y83" s="155"/>
      <c r="Z83" s="155"/>
      <c r="AA83" s="155"/>
      <c r="AB83" s="130"/>
      <c r="AC83" s="130"/>
      <c r="AD83" s="130"/>
      <c r="AE83" s="130"/>
      <c r="AF83" s="130"/>
      <c r="AG83" s="130"/>
      <c r="AH83" s="130"/>
      <c r="AI83" s="130"/>
      <c r="AJ83" s="130"/>
    </row>
    <row r="84" spans="1:36" ht="8.25" customHeight="1" x14ac:dyDescent="0.25">
      <c r="A84" s="139" t="s">
        <v>230</v>
      </c>
      <c r="B84" s="139"/>
      <c r="C84" s="139"/>
      <c r="D84" s="139"/>
      <c r="E84" s="139"/>
      <c r="F84" s="139"/>
      <c r="G84" s="139"/>
      <c r="H84" s="139"/>
      <c r="I84" s="139"/>
      <c r="J84" s="139"/>
      <c r="K84" s="139"/>
      <c r="L84" s="139"/>
      <c r="M84" s="139"/>
      <c r="N84" s="139"/>
      <c r="O84" s="139"/>
      <c r="P84" s="156"/>
      <c r="Q84" s="156"/>
      <c r="R84" s="156"/>
      <c r="S84" s="156"/>
      <c r="T84" s="156"/>
      <c r="U84" s="157"/>
      <c r="V84" s="157"/>
      <c r="W84" s="157"/>
      <c r="X84" s="157"/>
      <c r="Y84" s="157"/>
      <c r="Z84" s="157"/>
      <c r="AA84" s="157"/>
      <c r="AB84" s="147" t="s">
        <v>231</v>
      </c>
      <c r="AC84" s="147"/>
      <c r="AD84" s="147"/>
      <c r="AE84" s="147"/>
      <c r="AF84" s="147"/>
      <c r="AG84" s="147"/>
      <c r="AH84" s="147"/>
      <c r="AI84" s="147"/>
      <c r="AJ84" s="147"/>
    </row>
    <row r="85" spans="1:36" ht="34.5" customHeight="1" x14ac:dyDescent="0.25">
      <c r="A85" s="160" t="s">
        <v>235</v>
      </c>
      <c r="B85" s="160"/>
      <c r="C85" s="160"/>
      <c r="D85" s="160"/>
      <c r="E85" s="160"/>
      <c r="F85" s="160"/>
      <c r="G85" s="160"/>
      <c r="H85" s="160"/>
      <c r="I85" s="160"/>
      <c r="J85" s="160"/>
      <c r="K85" s="160"/>
      <c r="L85" s="160"/>
      <c r="M85" s="160"/>
      <c r="N85" s="160"/>
      <c r="O85" s="160"/>
      <c r="P85" s="160"/>
      <c r="Q85" s="160"/>
      <c r="R85" s="160"/>
      <c r="S85" s="160"/>
      <c r="T85" s="160"/>
      <c r="U85" s="160"/>
      <c r="V85" s="160"/>
      <c r="W85" s="160"/>
      <c r="X85" s="160"/>
      <c r="Y85" s="160"/>
      <c r="Z85" s="160"/>
      <c r="AA85" s="160"/>
      <c r="AB85" s="160"/>
      <c r="AC85" s="160"/>
      <c r="AD85" s="160"/>
      <c r="AE85" s="160"/>
      <c r="AF85" s="160"/>
      <c r="AG85" s="160"/>
      <c r="AH85" s="160"/>
      <c r="AI85" s="160"/>
      <c r="AJ85" s="160"/>
    </row>
    <row r="86" spans="1:36" ht="22.5" customHeight="1" x14ac:dyDescent="0.3">
      <c r="A86" s="130"/>
      <c r="B86" s="130"/>
      <c r="C86" s="130"/>
      <c r="D86" s="130"/>
      <c r="E86" s="130"/>
      <c r="F86" s="130"/>
      <c r="G86" s="130"/>
      <c r="H86" s="130"/>
      <c r="I86" s="130"/>
      <c r="J86" s="130"/>
      <c r="K86" s="130"/>
      <c r="L86" s="130"/>
      <c r="M86" s="130"/>
      <c r="N86" s="130"/>
      <c r="O86" s="130"/>
      <c r="P86" s="155"/>
      <c r="Q86" s="155"/>
      <c r="R86" s="155"/>
      <c r="S86" s="155"/>
      <c r="T86" s="155"/>
      <c r="U86" s="155"/>
      <c r="V86" s="155"/>
      <c r="W86" s="155"/>
      <c r="X86" s="155"/>
      <c r="Y86" s="155"/>
      <c r="Z86" s="155"/>
      <c r="AA86" s="155"/>
      <c r="AB86" s="130"/>
      <c r="AC86" s="130"/>
      <c r="AD86" s="130"/>
      <c r="AE86" s="130"/>
      <c r="AF86" s="130"/>
      <c r="AG86" s="130"/>
      <c r="AH86" s="130"/>
      <c r="AI86" s="130"/>
      <c r="AJ86" s="130"/>
    </row>
    <row r="87" spans="1:36" ht="12" customHeight="1" x14ac:dyDescent="0.25">
      <c r="A87" s="139" t="s">
        <v>230</v>
      </c>
      <c r="B87" s="139"/>
      <c r="C87" s="139"/>
      <c r="D87" s="139"/>
      <c r="E87" s="139"/>
      <c r="F87" s="139"/>
      <c r="G87" s="139"/>
      <c r="H87" s="139"/>
      <c r="I87" s="139"/>
      <c r="J87" s="139"/>
      <c r="K87" s="139"/>
      <c r="L87" s="139"/>
      <c r="M87" s="139"/>
      <c r="N87" s="139"/>
      <c r="O87" s="139"/>
      <c r="P87" s="156"/>
      <c r="Q87" s="156"/>
      <c r="R87" s="156"/>
      <c r="S87" s="156"/>
      <c r="T87" s="156"/>
      <c r="U87" s="157"/>
      <c r="V87" s="157"/>
      <c r="W87" s="157"/>
      <c r="X87" s="157"/>
      <c r="Y87" s="157"/>
      <c r="Z87" s="157"/>
      <c r="AA87" s="157"/>
      <c r="AB87" s="147" t="s">
        <v>231</v>
      </c>
      <c r="AC87" s="147"/>
      <c r="AD87" s="147"/>
      <c r="AE87" s="147"/>
      <c r="AF87" s="147"/>
      <c r="AG87" s="147"/>
      <c r="AH87" s="147"/>
      <c r="AI87" s="147"/>
      <c r="AJ87" s="147"/>
    </row>
    <row r="88" spans="1:36" ht="9" customHeight="1" x14ac:dyDescent="0.25"/>
    <row r="89" spans="1:36" ht="12" customHeight="1" x14ac:dyDescent="0.25"/>
  </sheetData>
  <mergeCells count="74">
    <mergeCell ref="A86:O86"/>
    <mergeCell ref="AB86:AJ86"/>
    <mergeCell ref="A87:O87"/>
    <mergeCell ref="AB87:AJ87"/>
    <mergeCell ref="A82:AJ82"/>
    <mergeCell ref="A83:O83"/>
    <mergeCell ref="AB83:AJ83"/>
    <mergeCell ref="A84:O84"/>
    <mergeCell ref="AB84:AJ84"/>
    <mergeCell ref="A85:AJ85"/>
    <mergeCell ref="A77:O77"/>
    <mergeCell ref="AB77:AJ77"/>
    <mergeCell ref="A80:O80"/>
    <mergeCell ref="AB80:AJ80"/>
    <mergeCell ref="A81:O81"/>
    <mergeCell ref="AB81:AJ81"/>
    <mergeCell ref="A72:AJ72"/>
    <mergeCell ref="A73:O73"/>
    <mergeCell ref="A74:O74"/>
    <mergeCell ref="AB74:AJ74"/>
    <mergeCell ref="A76:O76"/>
    <mergeCell ref="AB76:AJ76"/>
    <mergeCell ref="A64:AJ64"/>
    <mergeCell ref="A65:AJ65"/>
    <mergeCell ref="A67:AJ67"/>
    <mergeCell ref="A70:O70"/>
    <mergeCell ref="AB70:AJ70"/>
    <mergeCell ref="A71:O71"/>
    <mergeCell ref="AB71:AJ71"/>
    <mergeCell ref="A53:AJ53"/>
    <mergeCell ref="A54:AJ54"/>
    <mergeCell ref="A55:AJ55"/>
    <mergeCell ref="L58:AJ58"/>
    <mergeCell ref="H60:I60"/>
    <mergeCell ref="A63:AJ63"/>
    <mergeCell ref="A42:AJ42"/>
    <mergeCell ref="A45:AJ45"/>
    <mergeCell ref="A46:AJ46"/>
    <mergeCell ref="N47:AJ47"/>
    <mergeCell ref="A51:AJ51"/>
    <mergeCell ref="A52:AJ52"/>
    <mergeCell ref="A34:AJ34"/>
    <mergeCell ref="A35:AJ35"/>
    <mergeCell ref="A36:AJ36"/>
    <mergeCell ref="A37:AJ37"/>
    <mergeCell ref="A39:AJ39"/>
    <mergeCell ref="A41:AJ41"/>
    <mergeCell ref="A28:AJ28"/>
    <mergeCell ref="A29:AJ29"/>
    <mergeCell ref="A30:AJ30"/>
    <mergeCell ref="A31:AJ31"/>
    <mergeCell ref="A32:AJ32"/>
    <mergeCell ref="A33:AJ33"/>
    <mergeCell ref="A21:AJ21"/>
    <mergeCell ref="A22:AJ22"/>
    <mergeCell ref="A23:AJ23"/>
    <mergeCell ref="A24:AJ24"/>
    <mergeCell ref="A25:AJ25"/>
    <mergeCell ref="A27:AJ27"/>
    <mergeCell ref="A11:AJ11"/>
    <mergeCell ref="A13:AJ13"/>
    <mergeCell ref="A14:AJ14"/>
    <mergeCell ref="A15:AJ15"/>
    <mergeCell ref="A16:AJ16"/>
    <mergeCell ref="C18:K18"/>
    <mergeCell ref="Y18:Z18"/>
    <mergeCell ref="AB18:AE18"/>
    <mergeCell ref="AG18:AI18"/>
    <mergeCell ref="A4:AJ4"/>
    <mergeCell ref="A5:AJ5"/>
    <mergeCell ref="A6:AJ6"/>
    <mergeCell ref="A7:AJ7"/>
    <mergeCell ref="A8:AJ8"/>
    <mergeCell ref="A10:AJ10"/>
  </mergeCells>
  <pageMargins left="0.78749999999999998" right="0.27569444444444402" top="0.39374999999999999" bottom="0.39374999999999999" header="0.511811023622047" footer="0.511811023622047"/>
  <pageSetup paperSize="9" scale="89" orientation="portrait" horizontalDpi="300" verticalDpi="300"/>
  <rowBreaks count="1" manualBreakCount="1">
    <brk id="37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EA6C7-93AA-4F2B-9E9F-BA6B3BBA8507}">
  <sheetPr>
    <tabColor rgb="FF339966"/>
  </sheetPr>
  <dimension ref="A1:IW88"/>
  <sheetViews>
    <sheetView tabSelected="1" topLeftCell="A22" zoomScale="125" zoomScaleNormal="125" zoomScalePageLayoutView="130" workbookViewId="0">
      <selection activeCell="A33" sqref="A33:AJ33"/>
    </sheetView>
  </sheetViews>
  <sheetFormatPr defaultColWidth="10.6640625" defaultRowHeight="15" customHeight="1" x14ac:dyDescent="0.25"/>
  <cols>
    <col min="1" max="31" width="2.77734375" style="118" customWidth="1"/>
    <col min="32" max="32" width="3" style="118" customWidth="1"/>
    <col min="33" max="51" width="2.77734375" style="118" customWidth="1"/>
    <col min="52" max="257" width="10.6640625" style="118"/>
    <col min="258" max="16384" width="10.6640625" style="114"/>
  </cols>
  <sheetData>
    <row r="1" spans="1:43" ht="12.75" customHeight="1" x14ac:dyDescent="0.25">
      <c r="AJ1" s="119" t="s">
        <v>179</v>
      </c>
    </row>
    <row r="2" spans="1:43" ht="11.25" customHeight="1" x14ac:dyDescent="0.25">
      <c r="AJ2" s="119" t="s">
        <v>236</v>
      </c>
    </row>
    <row r="3" spans="1:43" ht="12" customHeight="1" x14ac:dyDescent="0.25">
      <c r="A3" s="114" t="s">
        <v>181</v>
      </c>
      <c r="AJ3" s="120"/>
      <c r="AK3" s="120"/>
      <c r="AL3" s="120"/>
      <c r="AM3" s="120"/>
      <c r="AN3" s="120"/>
      <c r="AO3" s="120"/>
      <c r="AP3" s="120"/>
      <c r="AQ3" s="120"/>
    </row>
    <row r="4" spans="1:43" ht="29.25" customHeight="1" x14ac:dyDescent="0.25">
      <c r="A4" s="121">
        <f>'[1]АОСР (1)'!A4:AJ4</f>
        <v>0</v>
      </c>
      <c r="B4" s="121"/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21"/>
      <c r="AA4" s="121"/>
      <c r="AB4" s="121"/>
      <c r="AC4" s="121"/>
      <c r="AD4" s="121"/>
      <c r="AE4" s="121"/>
      <c r="AF4" s="121"/>
      <c r="AG4" s="121"/>
      <c r="AH4" s="121"/>
      <c r="AI4" s="121"/>
      <c r="AJ4" s="121"/>
    </row>
    <row r="5" spans="1:43" ht="9" customHeight="1" x14ac:dyDescent="0.25">
      <c r="A5" s="122" t="s">
        <v>182</v>
      </c>
      <c r="B5" s="122"/>
      <c r="C5" s="122"/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  <c r="AA5" s="122"/>
      <c r="AB5" s="122"/>
      <c r="AC5" s="122"/>
      <c r="AD5" s="122"/>
      <c r="AE5" s="122"/>
      <c r="AF5" s="122"/>
      <c r="AG5" s="122"/>
      <c r="AH5" s="122"/>
      <c r="AI5" s="122"/>
      <c r="AJ5" s="122"/>
    </row>
    <row r="6" spans="1:43" ht="23.25" customHeight="1" x14ac:dyDescent="0.25">
      <c r="A6" s="123" t="s">
        <v>183</v>
      </c>
      <c r="B6" s="123"/>
      <c r="C6" s="123"/>
      <c r="D6" s="123"/>
      <c r="E6" s="123"/>
      <c r="F6" s="123"/>
      <c r="G6" s="123"/>
      <c r="H6" s="123"/>
      <c r="I6" s="123"/>
      <c r="J6" s="123"/>
      <c r="K6" s="123"/>
      <c r="L6" s="123"/>
      <c r="M6" s="123"/>
      <c r="N6" s="123"/>
      <c r="O6" s="123"/>
      <c r="P6" s="123"/>
      <c r="Q6" s="123"/>
      <c r="R6" s="123"/>
      <c r="S6" s="123"/>
      <c r="T6" s="123"/>
      <c r="U6" s="123"/>
      <c r="V6" s="123"/>
      <c r="W6" s="123"/>
      <c r="X6" s="123"/>
      <c r="Y6" s="123"/>
      <c r="Z6" s="123"/>
      <c r="AA6" s="123"/>
      <c r="AB6" s="123"/>
      <c r="AC6" s="123"/>
      <c r="AD6" s="123"/>
      <c r="AE6" s="123"/>
      <c r="AF6" s="123"/>
      <c r="AG6" s="123"/>
      <c r="AH6" s="123"/>
      <c r="AI6" s="123"/>
      <c r="AJ6" s="123"/>
    </row>
    <row r="7" spans="1:43" ht="40.5" customHeight="1" x14ac:dyDescent="0.25">
      <c r="A7" s="121">
        <f>'[1]АОСР (1)'!A7:AJ7</f>
        <v>0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</row>
    <row r="8" spans="1:43" ht="46.5" customHeight="1" x14ac:dyDescent="0.25">
      <c r="A8" s="122" t="s">
        <v>184</v>
      </c>
      <c r="B8" s="122"/>
      <c r="C8" s="122"/>
      <c r="D8" s="122"/>
      <c r="E8" s="122"/>
      <c r="F8" s="122"/>
      <c r="G8" s="122"/>
      <c r="H8" s="122"/>
      <c r="I8" s="122"/>
      <c r="J8" s="122"/>
      <c r="K8" s="122"/>
      <c r="L8" s="122"/>
      <c r="M8" s="122"/>
      <c r="N8" s="122"/>
      <c r="O8" s="122"/>
      <c r="P8" s="122"/>
      <c r="Q8" s="122"/>
      <c r="R8" s="122"/>
      <c r="S8" s="122"/>
      <c r="T8" s="122"/>
      <c r="U8" s="122"/>
      <c r="V8" s="122"/>
      <c r="W8" s="122"/>
      <c r="X8" s="122"/>
      <c r="Y8" s="122"/>
      <c r="Z8" s="122"/>
      <c r="AA8" s="122"/>
      <c r="AB8" s="122"/>
      <c r="AC8" s="122"/>
      <c r="AD8" s="122"/>
      <c r="AE8" s="122"/>
      <c r="AF8" s="122"/>
      <c r="AG8" s="122"/>
      <c r="AH8" s="122"/>
      <c r="AI8" s="122"/>
      <c r="AJ8" s="122"/>
    </row>
    <row r="9" spans="1:43" ht="12" customHeight="1" x14ac:dyDescent="0.25">
      <c r="A9" s="114" t="s">
        <v>185</v>
      </c>
    </row>
    <row r="10" spans="1:43" ht="48.75" customHeight="1" x14ac:dyDescent="0.25">
      <c r="A10" s="161">
        <f>'[1]АОСР (1)'!A10:AJ10</f>
        <v>0</v>
      </c>
      <c r="B10" s="161"/>
      <c r="C10" s="161"/>
      <c r="D10" s="161"/>
      <c r="E10" s="161"/>
      <c r="F10" s="161"/>
      <c r="G10" s="161"/>
      <c r="H10" s="161"/>
      <c r="I10" s="161"/>
      <c r="J10" s="161"/>
      <c r="K10" s="161"/>
      <c r="L10" s="161"/>
      <c r="M10" s="161"/>
      <c r="N10" s="161"/>
      <c r="O10" s="161"/>
      <c r="P10" s="161"/>
      <c r="Q10" s="161"/>
      <c r="R10" s="161"/>
      <c r="S10" s="161"/>
      <c r="T10" s="161"/>
      <c r="U10" s="161"/>
      <c r="V10" s="161"/>
      <c r="W10" s="161"/>
      <c r="X10" s="161"/>
      <c r="Y10" s="161"/>
      <c r="Z10" s="161"/>
      <c r="AA10" s="161"/>
      <c r="AB10" s="161"/>
      <c r="AC10" s="161"/>
      <c r="AD10" s="161"/>
      <c r="AE10" s="161"/>
      <c r="AF10" s="161"/>
      <c r="AG10" s="161"/>
      <c r="AH10" s="161"/>
      <c r="AI10" s="161"/>
      <c r="AJ10" s="161"/>
    </row>
    <row r="11" spans="1:43" ht="36" customHeight="1" x14ac:dyDescent="0.25">
      <c r="A11" s="122" t="s">
        <v>186</v>
      </c>
      <c r="B11" s="122"/>
      <c r="C11" s="122"/>
      <c r="D11" s="122"/>
      <c r="E11" s="122"/>
      <c r="F11" s="122"/>
      <c r="G11" s="122"/>
      <c r="H11" s="122"/>
      <c r="I11" s="122"/>
      <c r="J11" s="122"/>
      <c r="K11" s="122"/>
      <c r="L11" s="122"/>
      <c r="M11" s="122"/>
      <c r="N11" s="122"/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  <c r="AA11" s="122"/>
      <c r="AB11" s="122"/>
      <c r="AC11" s="122"/>
      <c r="AD11" s="122"/>
      <c r="AE11" s="122"/>
      <c r="AF11" s="122"/>
      <c r="AG11" s="122"/>
      <c r="AH11" s="122"/>
      <c r="AI11" s="122"/>
      <c r="AJ11" s="122"/>
    </row>
    <row r="12" spans="1:43" ht="15" customHeight="1" x14ac:dyDescent="0.25">
      <c r="A12" s="114" t="s">
        <v>187</v>
      </c>
    </row>
    <row r="13" spans="1:43" ht="37.5" customHeight="1" x14ac:dyDescent="0.25">
      <c r="A13" s="161">
        <f>'[1]АОСР (1)'!A13:AJ13</f>
        <v>0</v>
      </c>
      <c r="B13" s="161"/>
      <c r="C13" s="161"/>
      <c r="D13" s="161"/>
      <c r="E13" s="161"/>
      <c r="F13" s="161"/>
      <c r="G13" s="161"/>
      <c r="H13" s="161"/>
      <c r="I13" s="161"/>
      <c r="J13" s="161"/>
      <c r="K13" s="161"/>
      <c r="L13" s="161"/>
      <c r="M13" s="161"/>
      <c r="N13" s="161"/>
      <c r="O13" s="161"/>
      <c r="P13" s="161"/>
      <c r="Q13" s="161"/>
      <c r="R13" s="161"/>
      <c r="S13" s="161"/>
      <c r="T13" s="161"/>
      <c r="U13" s="161"/>
      <c r="V13" s="161"/>
      <c r="W13" s="161"/>
      <c r="X13" s="161"/>
      <c r="Y13" s="161"/>
      <c r="Z13" s="161"/>
      <c r="AA13" s="161"/>
      <c r="AB13" s="161"/>
      <c r="AC13" s="161"/>
      <c r="AD13" s="161"/>
      <c r="AE13" s="161"/>
      <c r="AF13" s="161"/>
      <c r="AG13" s="161"/>
      <c r="AH13" s="161"/>
      <c r="AI13" s="161"/>
      <c r="AJ13" s="161"/>
    </row>
    <row r="14" spans="1:43" ht="27.75" customHeight="1" x14ac:dyDescent="0.25">
      <c r="A14" s="122" t="s">
        <v>188</v>
      </c>
      <c r="B14" s="122"/>
      <c r="C14" s="122"/>
      <c r="D14" s="122"/>
      <c r="E14" s="122"/>
      <c r="F14" s="122"/>
      <c r="G14" s="122"/>
      <c r="H14" s="122"/>
      <c r="I14" s="122"/>
      <c r="J14" s="122"/>
      <c r="K14" s="122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  <c r="AC14" s="122"/>
      <c r="AD14" s="122"/>
      <c r="AE14" s="122"/>
      <c r="AF14" s="122"/>
      <c r="AG14" s="122"/>
      <c r="AH14" s="122"/>
      <c r="AI14" s="122"/>
      <c r="AJ14" s="122"/>
    </row>
    <row r="15" spans="1:43" ht="10.5" customHeight="1" x14ac:dyDescent="0.25">
      <c r="A15" s="124" t="s">
        <v>61</v>
      </c>
      <c r="B15" s="124"/>
      <c r="C15" s="124"/>
      <c r="D15" s="124"/>
      <c r="E15" s="124"/>
      <c r="F15" s="124"/>
      <c r="G15" s="124"/>
      <c r="H15" s="124"/>
      <c r="I15" s="124"/>
      <c r="J15" s="124"/>
      <c r="K15" s="124"/>
      <c r="L15" s="124"/>
      <c r="M15" s="124"/>
      <c r="N15" s="124"/>
      <c r="O15" s="124"/>
      <c r="P15" s="124"/>
      <c r="Q15" s="124"/>
      <c r="R15" s="124"/>
      <c r="S15" s="124"/>
      <c r="T15" s="124"/>
      <c r="U15" s="124"/>
      <c r="V15" s="124"/>
      <c r="W15" s="124"/>
      <c r="X15" s="124"/>
      <c r="Y15" s="124"/>
      <c r="Z15" s="124"/>
      <c r="AA15" s="124"/>
      <c r="AB15" s="124"/>
      <c r="AC15" s="124"/>
      <c r="AD15" s="124"/>
      <c r="AE15" s="124"/>
      <c r="AF15" s="124"/>
      <c r="AG15" s="124"/>
      <c r="AH15" s="124"/>
      <c r="AI15" s="124"/>
      <c r="AJ15" s="124"/>
    </row>
    <row r="16" spans="1:43" ht="12.75" customHeight="1" x14ac:dyDescent="0.25">
      <c r="A16" s="125" t="s">
        <v>128</v>
      </c>
      <c r="B16" s="125"/>
      <c r="C16" s="125"/>
      <c r="D16" s="125"/>
      <c r="E16" s="125"/>
      <c r="F16" s="125"/>
      <c r="G16" s="125"/>
      <c r="H16" s="125"/>
      <c r="I16" s="125"/>
      <c r="J16" s="125"/>
      <c r="K16" s="125"/>
      <c r="L16" s="125"/>
      <c r="M16" s="125"/>
      <c r="N16" s="125"/>
      <c r="O16" s="125"/>
      <c r="P16" s="125"/>
      <c r="Q16" s="125"/>
      <c r="R16" s="125"/>
      <c r="S16" s="125"/>
      <c r="T16" s="125"/>
      <c r="U16" s="125"/>
      <c r="V16" s="125"/>
      <c r="W16" s="125"/>
      <c r="X16" s="125"/>
      <c r="Y16" s="125"/>
      <c r="Z16" s="125"/>
      <c r="AA16" s="125"/>
      <c r="AB16" s="125"/>
      <c r="AC16" s="125"/>
      <c r="AD16" s="125"/>
      <c r="AE16" s="125"/>
      <c r="AF16" s="125"/>
      <c r="AG16" s="125"/>
      <c r="AH16" s="125"/>
      <c r="AI16" s="125"/>
      <c r="AJ16" s="125"/>
    </row>
    <row r="17" spans="1:257" ht="3.75" customHeight="1" x14ac:dyDescent="0.3">
      <c r="A17" s="126"/>
      <c r="B17" s="126"/>
      <c r="C17" s="126"/>
      <c r="D17" s="126"/>
      <c r="E17" s="126"/>
      <c r="F17" s="126"/>
      <c r="G17" s="126"/>
      <c r="H17" s="126"/>
      <c r="I17" s="126"/>
      <c r="J17" s="126"/>
    </row>
    <row r="18" spans="1:257" ht="12.75" customHeight="1" x14ac:dyDescent="0.3">
      <c r="A18" s="127"/>
      <c r="B18" s="127" t="s">
        <v>190</v>
      </c>
      <c r="C18" s="128" t="str">
        <f>CONCATENATE("2 (ЗП ГНБ №",[1]Лист1!B2,")")</f>
        <v>2 (ЗП ГНБ №)</v>
      </c>
      <c r="D18" s="128"/>
      <c r="E18" s="128"/>
      <c r="F18" s="128"/>
      <c r="G18" s="128"/>
      <c r="H18" s="128"/>
      <c r="I18" s="128"/>
      <c r="J18" s="128"/>
      <c r="K18" s="128"/>
      <c r="L18" s="114"/>
      <c r="M18" s="114"/>
      <c r="N18" s="114"/>
      <c r="O18" s="114"/>
      <c r="P18" s="114"/>
      <c r="Q18" s="114"/>
      <c r="R18" s="114"/>
      <c r="S18" s="114"/>
      <c r="T18" s="114"/>
      <c r="U18" s="114"/>
      <c r="V18" s="114"/>
      <c r="W18" s="114"/>
      <c r="X18" s="129" t="s">
        <v>191</v>
      </c>
      <c r="Y18" s="130">
        <f>[1]Лист1!C8</f>
        <v>0</v>
      </c>
      <c r="Z18" s="130"/>
      <c r="AA18" s="114" t="s">
        <v>191</v>
      </c>
      <c r="AB18" s="130">
        <f>[1]Лист1!D8</f>
        <v>0</v>
      </c>
      <c r="AC18" s="130"/>
      <c r="AD18" s="130"/>
      <c r="AE18" s="130"/>
      <c r="AF18" s="114"/>
      <c r="AG18" s="130">
        <f>[1]Лист1!E8</f>
        <v>0</v>
      </c>
      <c r="AH18" s="130"/>
      <c r="AI18" s="130"/>
      <c r="AJ18" s="114" t="s">
        <v>192</v>
      </c>
    </row>
    <row r="19" spans="1:257" ht="9.75" customHeight="1" x14ac:dyDescent="0.25">
      <c r="Y19" s="131"/>
      <c r="Z19" s="132" t="s">
        <v>193</v>
      </c>
      <c r="AA19" s="131"/>
      <c r="AB19" s="131"/>
      <c r="AC19" s="131"/>
      <c r="AD19" s="131"/>
      <c r="AE19" s="131"/>
      <c r="AF19" s="131"/>
      <c r="AG19" s="131"/>
      <c r="AH19" s="131"/>
    </row>
    <row r="20" spans="1:257" ht="3" customHeight="1" x14ac:dyDescent="0.25">
      <c r="Y20" s="131"/>
      <c r="Z20" s="131"/>
      <c r="AA20" s="131"/>
      <c r="AB20" s="131"/>
      <c r="AC20" s="131"/>
      <c r="AD20" s="131"/>
      <c r="AE20" s="131"/>
      <c r="AF20" s="131"/>
      <c r="AG20" s="131"/>
      <c r="AH20" s="131"/>
    </row>
    <row r="21" spans="1:257" ht="24.75" customHeight="1" x14ac:dyDescent="0.25">
      <c r="A21" s="123" t="s">
        <v>194</v>
      </c>
      <c r="B21" s="123"/>
      <c r="C21" s="123"/>
      <c r="D21" s="123"/>
      <c r="E21" s="123"/>
      <c r="F21" s="123"/>
      <c r="G21" s="123"/>
      <c r="H21" s="123"/>
      <c r="I21" s="123"/>
      <c r="J21" s="123"/>
      <c r="K21" s="123"/>
      <c r="L21" s="123"/>
      <c r="M21" s="123"/>
      <c r="N21" s="123"/>
      <c r="O21" s="123"/>
      <c r="P21" s="123"/>
      <c r="Q21" s="123"/>
      <c r="R21" s="123"/>
      <c r="S21" s="123"/>
      <c r="T21" s="123"/>
      <c r="U21" s="123"/>
      <c r="V21" s="123"/>
      <c r="W21" s="123"/>
      <c r="X21" s="123"/>
      <c r="Y21" s="123"/>
      <c r="Z21" s="123"/>
      <c r="AA21" s="123"/>
      <c r="AB21" s="123"/>
      <c r="AC21" s="123"/>
      <c r="AD21" s="123"/>
      <c r="AE21" s="123"/>
      <c r="AF21" s="123"/>
      <c r="AG21" s="123"/>
      <c r="AH21" s="123"/>
      <c r="AI21" s="123"/>
      <c r="AJ21" s="123"/>
    </row>
    <row r="22" spans="1:257" ht="27" customHeight="1" x14ac:dyDescent="0.25">
      <c r="A22" s="133">
        <f>'[1]АОСР (1)'!A22:AJ22</f>
        <v>0</v>
      </c>
      <c r="B22" s="133"/>
      <c r="C22" s="133"/>
      <c r="D22" s="133"/>
      <c r="E22" s="133"/>
      <c r="F22" s="133"/>
      <c r="G22" s="133"/>
      <c r="H22" s="133"/>
      <c r="I22" s="133"/>
      <c r="J22" s="133"/>
      <c r="K22" s="133"/>
      <c r="L22" s="133"/>
      <c r="M22" s="133"/>
      <c r="N22" s="133"/>
      <c r="O22" s="133"/>
      <c r="P22" s="133"/>
      <c r="Q22" s="133"/>
      <c r="R22" s="133"/>
      <c r="S22" s="133"/>
      <c r="T22" s="133"/>
      <c r="U22" s="133"/>
      <c r="V22" s="133"/>
      <c r="W22" s="133"/>
      <c r="X22" s="133"/>
      <c r="Y22" s="133"/>
      <c r="Z22" s="133"/>
      <c r="AA22" s="133"/>
      <c r="AB22" s="133"/>
      <c r="AC22" s="133"/>
      <c r="AD22" s="133"/>
      <c r="AE22" s="133"/>
      <c r="AF22" s="133"/>
      <c r="AG22" s="133"/>
      <c r="AH22" s="133"/>
      <c r="AI22" s="133"/>
      <c r="AJ22" s="133"/>
    </row>
    <row r="23" spans="1:257" ht="23.25" customHeight="1" x14ac:dyDescent="0.25">
      <c r="A23" s="134" t="s">
        <v>195</v>
      </c>
      <c r="B23" s="134"/>
      <c r="C23" s="134"/>
      <c r="D23" s="134"/>
      <c r="E23" s="134"/>
      <c r="F23" s="134"/>
      <c r="G23" s="134"/>
      <c r="H23" s="134"/>
      <c r="I23" s="134"/>
      <c r="J23" s="134"/>
      <c r="K23" s="134"/>
      <c r="L23" s="134"/>
      <c r="M23" s="134"/>
      <c r="N23" s="134"/>
      <c r="O23" s="134"/>
      <c r="P23" s="134"/>
      <c r="Q23" s="134"/>
      <c r="R23" s="134"/>
      <c r="S23" s="134"/>
      <c r="T23" s="134"/>
      <c r="U23" s="134"/>
      <c r="V23" s="134"/>
      <c r="W23" s="134"/>
      <c r="X23" s="134"/>
      <c r="Y23" s="134"/>
      <c r="Z23" s="134"/>
      <c r="AA23" s="134"/>
      <c r="AB23" s="134"/>
      <c r="AC23" s="134"/>
      <c r="AD23" s="134"/>
      <c r="AE23" s="134"/>
      <c r="AF23" s="134"/>
      <c r="AG23" s="134"/>
      <c r="AH23" s="134"/>
      <c r="AI23" s="134"/>
      <c r="AJ23" s="134"/>
    </row>
    <row r="24" spans="1:257" ht="12" customHeight="1" x14ac:dyDescent="0.25">
      <c r="A24" s="121">
        <f>'[1]АОСР (1)'!A24:AJ24</f>
        <v>0</v>
      </c>
      <c r="B24" s="121"/>
      <c r="C24" s="121"/>
      <c r="D24" s="121"/>
      <c r="E24" s="121"/>
      <c r="F24" s="121"/>
      <c r="G24" s="121"/>
      <c r="H24" s="121"/>
      <c r="I24" s="121"/>
      <c r="J24" s="121"/>
      <c r="K24" s="121"/>
      <c r="L24" s="121"/>
      <c r="M24" s="121"/>
      <c r="N24" s="121"/>
      <c r="O24" s="121"/>
      <c r="P24" s="121"/>
      <c r="Q24" s="121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  <c r="AC24" s="121"/>
      <c r="AD24" s="121"/>
      <c r="AE24" s="121"/>
      <c r="AF24" s="121"/>
      <c r="AG24" s="121"/>
      <c r="AH24" s="121"/>
      <c r="AI24" s="121"/>
      <c r="AJ24" s="121"/>
    </row>
    <row r="25" spans="1:257" ht="39" customHeight="1" x14ac:dyDescent="0.25">
      <c r="A25" s="122" t="s">
        <v>198</v>
      </c>
      <c r="B25" s="122"/>
      <c r="C25" s="122"/>
      <c r="D25" s="122"/>
      <c r="E25" s="122"/>
      <c r="F25" s="122"/>
      <c r="G25" s="122"/>
      <c r="H25" s="122"/>
      <c r="I25" s="122"/>
      <c r="J25" s="122"/>
      <c r="K25" s="122"/>
      <c r="L25" s="122"/>
      <c r="M25" s="122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  <c r="AA25" s="122"/>
      <c r="AB25" s="122"/>
      <c r="AC25" s="122"/>
      <c r="AD25" s="122"/>
      <c r="AE25" s="122"/>
      <c r="AF25" s="122"/>
      <c r="AG25" s="122"/>
      <c r="AH25" s="122"/>
      <c r="AI25" s="122"/>
      <c r="AJ25" s="122"/>
    </row>
    <row r="26" spans="1:257" ht="12" customHeight="1" x14ac:dyDescent="0.25">
      <c r="A26" s="114" t="s">
        <v>199</v>
      </c>
    </row>
    <row r="27" spans="1:257" ht="33.75" customHeight="1" x14ac:dyDescent="0.25">
      <c r="A27" s="121">
        <f>'[1]АОСР (1)'!A27:AJ27</f>
        <v>0</v>
      </c>
      <c r="B27" s="121"/>
      <c r="C27" s="121"/>
      <c r="D27" s="121"/>
      <c r="E27" s="121"/>
      <c r="F27" s="121"/>
      <c r="G27" s="121"/>
      <c r="H27" s="121"/>
      <c r="I27" s="121"/>
      <c r="J27" s="121"/>
      <c r="K27" s="121"/>
      <c r="L27" s="121"/>
      <c r="M27" s="121"/>
      <c r="N27" s="121"/>
      <c r="O27" s="121"/>
      <c r="P27" s="121"/>
      <c r="Q27" s="121"/>
      <c r="R27" s="121"/>
      <c r="S27" s="121"/>
      <c r="T27" s="121"/>
      <c r="U27" s="121"/>
      <c r="V27" s="121"/>
      <c r="W27" s="121"/>
      <c r="X27" s="121"/>
      <c r="Y27" s="121"/>
      <c r="Z27" s="121"/>
      <c r="AA27" s="121"/>
      <c r="AB27" s="121"/>
      <c r="AC27" s="121"/>
      <c r="AD27" s="121"/>
      <c r="AE27" s="121"/>
      <c r="AF27" s="121"/>
      <c r="AG27" s="121"/>
      <c r="AH27" s="121"/>
      <c r="AI27" s="121"/>
      <c r="AJ27" s="121"/>
    </row>
    <row r="28" spans="1:257" ht="9" customHeight="1" x14ac:dyDescent="0.25">
      <c r="A28" s="122" t="s">
        <v>200</v>
      </c>
      <c r="B28" s="122"/>
      <c r="C28" s="122"/>
      <c r="D28" s="122"/>
      <c r="E28" s="122"/>
      <c r="F28" s="122"/>
      <c r="G28" s="122"/>
      <c r="H28" s="122"/>
      <c r="I28" s="122"/>
      <c r="J28" s="122"/>
      <c r="K28" s="122"/>
      <c r="L28" s="122"/>
      <c r="M28" s="122"/>
      <c r="N28" s="122"/>
      <c r="O28" s="122"/>
      <c r="P28" s="122"/>
      <c r="Q28" s="122"/>
      <c r="R28" s="122"/>
      <c r="S28" s="122"/>
      <c r="T28" s="122"/>
      <c r="U28" s="122"/>
      <c r="V28" s="122"/>
      <c r="W28" s="122"/>
      <c r="X28" s="122"/>
      <c r="Y28" s="122"/>
      <c r="Z28" s="122"/>
      <c r="AA28" s="122"/>
      <c r="AB28" s="122"/>
      <c r="AC28" s="122"/>
      <c r="AD28" s="122"/>
      <c r="AE28" s="122"/>
      <c r="AF28" s="122"/>
      <c r="AG28" s="122"/>
      <c r="AH28" s="122"/>
      <c r="AI28" s="122"/>
      <c r="AJ28" s="122"/>
    </row>
    <row r="29" spans="1:257" ht="24.75" customHeight="1" x14ac:dyDescent="0.25">
      <c r="A29" s="123" t="s">
        <v>201</v>
      </c>
      <c r="B29" s="123"/>
      <c r="C29" s="123"/>
      <c r="D29" s="123"/>
      <c r="E29" s="123"/>
      <c r="F29" s="123"/>
      <c r="G29" s="123"/>
      <c r="H29" s="123"/>
      <c r="I29" s="123"/>
      <c r="J29" s="123"/>
      <c r="K29" s="123"/>
      <c r="L29" s="123"/>
      <c r="M29" s="123"/>
      <c r="N29" s="123"/>
      <c r="O29" s="123"/>
      <c r="P29" s="123"/>
      <c r="Q29" s="123"/>
      <c r="R29" s="123"/>
      <c r="S29" s="123"/>
      <c r="T29" s="123"/>
      <c r="U29" s="123"/>
      <c r="V29" s="123"/>
      <c r="W29" s="123"/>
      <c r="X29" s="123"/>
      <c r="Y29" s="123"/>
      <c r="Z29" s="123"/>
      <c r="AA29" s="123"/>
      <c r="AB29" s="123"/>
      <c r="AC29" s="123"/>
      <c r="AD29" s="123"/>
      <c r="AE29" s="123"/>
      <c r="AF29" s="123"/>
      <c r="AG29" s="123"/>
      <c r="AH29" s="123"/>
      <c r="AI29" s="123"/>
      <c r="AJ29" s="123"/>
    </row>
    <row r="30" spans="1:257" ht="33.75" customHeight="1" x14ac:dyDescent="0.25">
      <c r="A30" s="121">
        <f>'[1]АОСР (1)'!A30:AJ30</f>
        <v>0</v>
      </c>
      <c r="B30" s="121"/>
      <c r="C30" s="121"/>
      <c r="D30" s="121"/>
      <c r="E30" s="121"/>
      <c r="F30" s="121"/>
      <c r="G30" s="121"/>
      <c r="H30" s="121"/>
      <c r="I30" s="121"/>
      <c r="J30" s="121"/>
      <c r="K30" s="121"/>
      <c r="L30" s="121"/>
      <c r="M30" s="121"/>
      <c r="N30" s="121"/>
      <c r="O30" s="121"/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  <c r="AD30" s="121"/>
      <c r="AE30" s="121"/>
      <c r="AF30" s="121"/>
      <c r="AG30" s="121"/>
      <c r="AH30" s="121"/>
      <c r="AI30" s="121"/>
      <c r="AJ30" s="121"/>
      <c r="AK30" s="136"/>
      <c r="AL30" s="136"/>
      <c r="AM30" s="136"/>
      <c r="AN30" s="136"/>
      <c r="AO30" s="136"/>
      <c r="AP30" s="136"/>
      <c r="AQ30" s="136"/>
      <c r="AR30" s="136"/>
      <c r="AS30" s="136"/>
      <c r="AT30" s="136"/>
      <c r="AU30" s="136"/>
      <c r="AV30" s="136"/>
      <c r="AW30" s="136"/>
      <c r="AX30" s="136"/>
      <c r="AY30" s="136"/>
      <c r="AZ30" s="136"/>
      <c r="BA30" s="136"/>
      <c r="BB30" s="136"/>
      <c r="BC30" s="136"/>
      <c r="BD30" s="136"/>
      <c r="BE30" s="136"/>
      <c r="BF30" s="136"/>
      <c r="BG30" s="136"/>
      <c r="BH30" s="136"/>
      <c r="BI30" s="136"/>
      <c r="BJ30" s="136"/>
      <c r="BK30" s="136"/>
      <c r="BL30" s="136"/>
      <c r="BM30" s="136"/>
      <c r="BN30" s="136"/>
      <c r="BO30" s="136"/>
      <c r="BP30" s="136"/>
      <c r="BQ30" s="136"/>
      <c r="BR30" s="136"/>
      <c r="BS30" s="136"/>
      <c r="BT30" s="136"/>
      <c r="BU30" s="136"/>
      <c r="BV30" s="136"/>
      <c r="BW30" s="136"/>
      <c r="BX30" s="136"/>
      <c r="BY30" s="136"/>
      <c r="BZ30" s="136"/>
      <c r="CA30" s="136"/>
      <c r="CB30" s="136"/>
      <c r="CC30" s="136"/>
      <c r="CD30" s="136"/>
      <c r="CE30" s="136"/>
      <c r="CF30" s="136"/>
      <c r="CG30" s="136"/>
      <c r="CH30" s="136"/>
      <c r="CI30" s="136"/>
      <c r="CJ30" s="136"/>
      <c r="CK30" s="136"/>
      <c r="CL30" s="136"/>
      <c r="CM30" s="136"/>
      <c r="CN30" s="136"/>
      <c r="CO30" s="136"/>
      <c r="CP30" s="136"/>
      <c r="CQ30" s="136"/>
      <c r="CR30" s="136"/>
      <c r="CS30" s="136"/>
      <c r="CT30" s="136"/>
      <c r="CU30" s="136"/>
      <c r="CV30" s="136"/>
      <c r="CW30" s="136"/>
      <c r="CX30" s="136"/>
      <c r="CY30" s="136"/>
      <c r="CZ30" s="136"/>
      <c r="DA30" s="136"/>
      <c r="DB30" s="136"/>
      <c r="DC30" s="136"/>
      <c r="DD30" s="136"/>
      <c r="DE30" s="136"/>
      <c r="DF30" s="136"/>
      <c r="DG30" s="136"/>
      <c r="DH30" s="136"/>
      <c r="DI30" s="136"/>
      <c r="DJ30" s="136"/>
      <c r="DK30" s="136"/>
      <c r="DL30" s="136"/>
      <c r="DM30" s="136"/>
      <c r="DN30" s="136"/>
      <c r="DO30" s="136"/>
      <c r="DP30" s="136"/>
      <c r="DQ30" s="136"/>
      <c r="DR30" s="136"/>
      <c r="DS30" s="136"/>
      <c r="DT30" s="136"/>
      <c r="DU30" s="136"/>
      <c r="DV30" s="136"/>
      <c r="DW30" s="136"/>
      <c r="DX30" s="136"/>
      <c r="DY30" s="136"/>
      <c r="DZ30" s="136"/>
      <c r="EA30" s="136"/>
      <c r="EB30" s="136"/>
      <c r="EC30" s="136"/>
      <c r="ED30" s="136"/>
      <c r="EE30" s="136"/>
      <c r="EF30" s="136"/>
      <c r="EG30" s="136"/>
      <c r="EH30" s="136"/>
      <c r="EI30" s="136"/>
      <c r="EJ30" s="136"/>
      <c r="EK30" s="136"/>
      <c r="EL30" s="136"/>
      <c r="EM30" s="136"/>
      <c r="EN30" s="136"/>
      <c r="EO30" s="136"/>
      <c r="EP30" s="136"/>
      <c r="EQ30" s="136"/>
      <c r="ER30" s="136"/>
      <c r="ES30" s="136"/>
      <c r="ET30" s="136"/>
      <c r="EU30" s="136"/>
      <c r="EV30" s="136"/>
      <c r="EW30" s="136"/>
      <c r="EX30" s="136"/>
      <c r="EY30" s="136"/>
      <c r="EZ30" s="136"/>
      <c r="FA30" s="136"/>
      <c r="FB30" s="136"/>
      <c r="FC30" s="136"/>
      <c r="FD30" s="136"/>
      <c r="FE30" s="136"/>
      <c r="FF30" s="136"/>
      <c r="FG30" s="136"/>
      <c r="FH30" s="136"/>
      <c r="FI30" s="136"/>
      <c r="FJ30" s="136"/>
      <c r="FK30" s="136"/>
      <c r="FL30" s="136"/>
      <c r="FM30" s="136"/>
      <c r="FN30" s="136"/>
      <c r="FO30" s="136"/>
      <c r="FP30" s="136"/>
      <c r="FQ30" s="136"/>
      <c r="FR30" s="136"/>
      <c r="FS30" s="136"/>
      <c r="FT30" s="136"/>
      <c r="FU30" s="136"/>
      <c r="FV30" s="136"/>
      <c r="FW30" s="136"/>
      <c r="FX30" s="136"/>
      <c r="FY30" s="136"/>
      <c r="FZ30" s="136"/>
      <c r="GA30" s="136"/>
      <c r="GB30" s="136"/>
      <c r="GC30" s="136"/>
      <c r="GD30" s="136"/>
      <c r="GE30" s="136"/>
      <c r="GF30" s="136"/>
      <c r="GG30" s="136"/>
      <c r="GH30" s="136"/>
      <c r="GI30" s="136"/>
      <c r="GJ30" s="136"/>
      <c r="GK30" s="136"/>
      <c r="GL30" s="136"/>
      <c r="GM30" s="136"/>
      <c r="GN30" s="136"/>
      <c r="GO30" s="136"/>
      <c r="GP30" s="136"/>
      <c r="GQ30" s="136"/>
      <c r="GR30" s="136"/>
      <c r="GS30" s="136"/>
      <c r="GT30" s="136"/>
      <c r="GU30" s="136"/>
      <c r="GV30" s="136"/>
      <c r="GW30" s="136"/>
      <c r="GX30" s="136"/>
      <c r="GY30" s="136"/>
      <c r="GZ30" s="136"/>
      <c r="HA30" s="136"/>
      <c r="HB30" s="136"/>
      <c r="HC30" s="136"/>
      <c r="HD30" s="136"/>
      <c r="HE30" s="136"/>
      <c r="HF30" s="136"/>
      <c r="HG30" s="136"/>
      <c r="HH30" s="136"/>
      <c r="HI30" s="136"/>
      <c r="HJ30" s="136"/>
      <c r="HK30" s="136"/>
      <c r="HL30" s="136"/>
      <c r="HM30" s="136"/>
      <c r="HN30" s="136"/>
      <c r="HO30" s="136"/>
      <c r="HP30" s="136"/>
      <c r="HQ30" s="136"/>
      <c r="HR30" s="136"/>
      <c r="HS30" s="136"/>
      <c r="HT30" s="136"/>
      <c r="HU30" s="136"/>
      <c r="HV30" s="136"/>
      <c r="HW30" s="136"/>
      <c r="HX30" s="136"/>
      <c r="HY30" s="136"/>
      <c r="HZ30" s="136"/>
      <c r="IA30" s="136"/>
      <c r="IB30" s="136"/>
      <c r="IC30" s="136"/>
      <c r="ID30" s="136"/>
      <c r="IE30" s="136"/>
      <c r="IF30" s="136"/>
      <c r="IG30" s="136"/>
      <c r="IH30" s="136"/>
      <c r="II30" s="136"/>
      <c r="IJ30" s="136"/>
      <c r="IK30" s="136"/>
      <c r="IL30" s="136"/>
      <c r="IM30" s="136"/>
      <c r="IN30" s="136"/>
      <c r="IO30" s="136"/>
      <c r="IP30" s="136"/>
      <c r="IQ30" s="136"/>
      <c r="IR30" s="136"/>
      <c r="IS30" s="136"/>
      <c r="IT30" s="136"/>
      <c r="IU30" s="136"/>
      <c r="IV30" s="136"/>
      <c r="IW30" s="136"/>
    </row>
    <row r="31" spans="1:257" ht="26.25" customHeight="1" x14ac:dyDescent="0.25">
      <c r="A31" s="122" t="s">
        <v>202</v>
      </c>
      <c r="B31" s="122"/>
      <c r="C31" s="122"/>
      <c r="D31" s="122"/>
      <c r="E31" s="122"/>
      <c r="F31" s="122"/>
      <c r="G31" s="122"/>
      <c r="H31" s="122"/>
      <c r="I31" s="122"/>
      <c r="J31" s="122"/>
      <c r="K31" s="122"/>
      <c r="L31" s="122"/>
      <c r="M31" s="122"/>
      <c r="N31" s="122"/>
      <c r="O31" s="122"/>
      <c r="P31" s="122"/>
      <c r="Q31" s="122"/>
      <c r="R31" s="122"/>
      <c r="S31" s="122"/>
      <c r="T31" s="122"/>
      <c r="U31" s="122"/>
      <c r="V31" s="122"/>
      <c r="W31" s="122"/>
      <c r="X31" s="122"/>
      <c r="Y31" s="122"/>
      <c r="Z31" s="122"/>
      <c r="AA31" s="122"/>
      <c r="AB31" s="122"/>
      <c r="AC31" s="122"/>
      <c r="AD31" s="122"/>
      <c r="AE31" s="122"/>
      <c r="AF31" s="122"/>
      <c r="AG31" s="122"/>
      <c r="AH31" s="122"/>
      <c r="AI31" s="122"/>
      <c r="AJ31" s="122"/>
    </row>
    <row r="32" spans="1:257" ht="48" customHeight="1" x14ac:dyDescent="0.25">
      <c r="A32" s="137" t="s">
        <v>203</v>
      </c>
      <c r="B32" s="137"/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7"/>
      <c r="O32" s="137"/>
      <c r="P32" s="137"/>
      <c r="Q32" s="137"/>
      <c r="R32" s="137"/>
      <c r="S32" s="137"/>
      <c r="T32" s="137"/>
      <c r="U32" s="137"/>
      <c r="V32" s="137"/>
      <c r="W32" s="137"/>
      <c r="X32" s="137"/>
      <c r="Y32" s="137"/>
      <c r="Z32" s="137"/>
      <c r="AA32" s="137"/>
      <c r="AB32" s="137"/>
      <c r="AC32" s="137"/>
      <c r="AD32" s="137"/>
      <c r="AE32" s="137"/>
      <c r="AF32" s="137"/>
      <c r="AG32" s="137"/>
      <c r="AH32" s="137"/>
      <c r="AI32" s="137"/>
      <c r="AJ32" s="137"/>
    </row>
    <row r="33" spans="1:257" ht="15" customHeight="1" x14ac:dyDescent="0.25">
      <c r="A33" s="121"/>
      <c r="B33" s="121"/>
      <c r="C33" s="121"/>
      <c r="D33" s="121"/>
      <c r="E33" s="121"/>
      <c r="F33" s="121"/>
      <c r="G33" s="121"/>
      <c r="H33" s="121"/>
      <c r="I33" s="121"/>
      <c r="J33" s="121"/>
      <c r="K33" s="121"/>
      <c r="L33" s="121"/>
      <c r="M33" s="121"/>
      <c r="N33" s="121"/>
      <c r="O33" s="121"/>
      <c r="P33" s="121"/>
      <c r="Q33" s="121"/>
      <c r="R33" s="121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  <c r="AC33" s="121"/>
      <c r="AD33" s="121"/>
      <c r="AE33" s="121"/>
      <c r="AF33" s="121"/>
      <c r="AG33" s="121"/>
      <c r="AH33" s="121"/>
      <c r="AI33" s="121"/>
      <c r="AJ33" s="121"/>
      <c r="AK33" s="136"/>
      <c r="AL33" s="136"/>
      <c r="AM33" s="136"/>
      <c r="AN33" s="136"/>
      <c r="AO33" s="136"/>
      <c r="AP33" s="136"/>
      <c r="AQ33" s="136"/>
      <c r="AR33" s="136"/>
      <c r="AS33" s="136"/>
      <c r="AT33" s="136"/>
      <c r="AU33" s="136"/>
      <c r="AV33" s="136"/>
      <c r="AW33" s="136"/>
      <c r="AX33" s="136"/>
      <c r="AY33" s="136"/>
      <c r="AZ33" s="136"/>
      <c r="BA33" s="136"/>
      <c r="BB33" s="136"/>
      <c r="BC33" s="136"/>
      <c r="BD33" s="136"/>
      <c r="BE33" s="136"/>
      <c r="BF33" s="136"/>
      <c r="BG33" s="136"/>
      <c r="BH33" s="136"/>
      <c r="BI33" s="136"/>
      <c r="BJ33" s="136"/>
      <c r="BK33" s="136"/>
      <c r="BL33" s="136"/>
      <c r="BM33" s="136"/>
      <c r="BN33" s="136"/>
      <c r="BO33" s="136"/>
      <c r="BP33" s="136"/>
      <c r="BQ33" s="136"/>
      <c r="BR33" s="136"/>
      <c r="BS33" s="136"/>
      <c r="BT33" s="136"/>
      <c r="BU33" s="136"/>
      <c r="BV33" s="136"/>
      <c r="BW33" s="136"/>
      <c r="BX33" s="136"/>
      <c r="BY33" s="136"/>
      <c r="BZ33" s="136"/>
      <c r="CA33" s="136"/>
      <c r="CB33" s="136"/>
      <c r="CC33" s="136"/>
      <c r="CD33" s="136"/>
      <c r="CE33" s="136"/>
      <c r="CF33" s="136"/>
      <c r="CG33" s="136"/>
      <c r="CH33" s="136"/>
      <c r="CI33" s="136"/>
      <c r="CJ33" s="136"/>
      <c r="CK33" s="136"/>
      <c r="CL33" s="136"/>
      <c r="CM33" s="136"/>
      <c r="CN33" s="136"/>
      <c r="CO33" s="136"/>
      <c r="CP33" s="136"/>
      <c r="CQ33" s="136"/>
      <c r="CR33" s="136"/>
      <c r="CS33" s="136"/>
      <c r="CT33" s="136"/>
      <c r="CU33" s="136"/>
      <c r="CV33" s="136"/>
      <c r="CW33" s="136"/>
      <c r="CX33" s="136"/>
      <c r="CY33" s="136"/>
      <c r="CZ33" s="136"/>
      <c r="DA33" s="136"/>
      <c r="DB33" s="136"/>
      <c r="DC33" s="136"/>
      <c r="DD33" s="136"/>
      <c r="DE33" s="136"/>
      <c r="DF33" s="136"/>
      <c r="DG33" s="136"/>
      <c r="DH33" s="136"/>
      <c r="DI33" s="136"/>
      <c r="DJ33" s="136"/>
      <c r="DK33" s="136"/>
      <c r="DL33" s="136"/>
      <c r="DM33" s="136"/>
      <c r="DN33" s="136"/>
      <c r="DO33" s="136"/>
      <c r="DP33" s="136"/>
      <c r="DQ33" s="136"/>
      <c r="DR33" s="136"/>
      <c r="DS33" s="136"/>
      <c r="DT33" s="136"/>
      <c r="DU33" s="136"/>
      <c r="DV33" s="136"/>
      <c r="DW33" s="136"/>
      <c r="DX33" s="136"/>
      <c r="DY33" s="136"/>
      <c r="DZ33" s="136"/>
      <c r="EA33" s="136"/>
      <c r="EB33" s="136"/>
      <c r="EC33" s="136"/>
      <c r="ED33" s="136"/>
      <c r="EE33" s="136"/>
      <c r="EF33" s="136"/>
      <c r="EG33" s="136"/>
      <c r="EH33" s="136"/>
      <c r="EI33" s="136"/>
      <c r="EJ33" s="136"/>
      <c r="EK33" s="136"/>
      <c r="EL33" s="136"/>
      <c r="EM33" s="136"/>
      <c r="EN33" s="136"/>
      <c r="EO33" s="136"/>
      <c r="EP33" s="136"/>
      <c r="EQ33" s="136"/>
      <c r="ER33" s="136"/>
      <c r="ES33" s="136"/>
      <c r="ET33" s="136"/>
      <c r="EU33" s="136"/>
      <c r="EV33" s="136"/>
      <c r="EW33" s="136"/>
      <c r="EX33" s="136"/>
      <c r="EY33" s="136"/>
      <c r="EZ33" s="136"/>
      <c r="FA33" s="136"/>
      <c r="FB33" s="136"/>
      <c r="FC33" s="136"/>
      <c r="FD33" s="136"/>
      <c r="FE33" s="136"/>
      <c r="FF33" s="136"/>
      <c r="FG33" s="136"/>
      <c r="FH33" s="136"/>
      <c r="FI33" s="136"/>
      <c r="FJ33" s="136"/>
      <c r="FK33" s="136"/>
      <c r="FL33" s="136"/>
      <c r="FM33" s="136"/>
      <c r="FN33" s="136"/>
      <c r="FO33" s="136"/>
      <c r="FP33" s="136"/>
      <c r="FQ33" s="136"/>
      <c r="FR33" s="136"/>
      <c r="FS33" s="136"/>
      <c r="FT33" s="136"/>
      <c r="FU33" s="136"/>
      <c r="FV33" s="136"/>
      <c r="FW33" s="136"/>
      <c r="FX33" s="136"/>
      <c r="FY33" s="136"/>
      <c r="FZ33" s="136"/>
      <c r="GA33" s="136"/>
      <c r="GB33" s="136"/>
      <c r="GC33" s="136"/>
      <c r="GD33" s="136"/>
      <c r="GE33" s="136"/>
      <c r="GF33" s="136"/>
      <c r="GG33" s="136"/>
      <c r="GH33" s="136"/>
      <c r="GI33" s="136"/>
      <c r="GJ33" s="136"/>
      <c r="GK33" s="136"/>
      <c r="GL33" s="136"/>
      <c r="GM33" s="136"/>
      <c r="GN33" s="136"/>
      <c r="GO33" s="136"/>
      <c r="GP33" s="136"/>
      <c r="GQ33" s="136"/>
      <c r="GR33" s="136"/>
      <c r="GS33" s="136"/>
      <c r="GT33" s="136"/>
      <c r="GU33" s="136"/>
      <c r="GV33" s="136"/>
      <c r="GW33" s="136"/>
      <c r="GX33" s="136"/>
      <c r="GY33" s="136"/>
      <c r="GZ33" s="136"/>
      <c r="HA33" s="136"/>
      <c r="HB33" s="136"/>
      <c r="HC33" s="136"/>
      <c r="HD33" s="136"/>
      <c r="HE33" s="136"/>
      <c r="HF33" s="136"/>
      <c r="HG33" s="136"/>
      <c r="HH33" s="136"/>
      <c r="HI33" s="136"/>
      <c r="HJ33" s="136"/>
      <c r="HK33" s="136"/>
      <c r="HL33" s="136"/>
      <c r="HM33" s="136"/>
      <c r="HN33" s="136"/>
      <c r="HO33" s="136"/>
      <c r="HP33" s="136"/>
      <c r="HQ33" s="136"/>
      <c r="HR33" s="136"/>
      <c r="HS33" s="136"/>
      <c r="HT33" s="136"/>
      <c r="HU33" s="136"/>
      <c r="HV33" s="136"/>
      <c r="HW33" s="136"/>
      <c r="HX33" s="136"/>
      <c r="HY33" s="136"/>
      <c r="HZ33" s="136"/>
      <c r="IA33" s="136"/>
      <c r="IB33" s="136"/>
      <c r="IC33" s="136"/>
      <c r="ID33" s="136"/>
      <c r="IE33" s="136"/>
      <c r="IF33" s="136"/>
      <c r="IG33" s="136"/>
      <c r="IH33" s="136"/>
      <c r="II33" s="136"/>
      <c r="IJ33" s="136"/>
      <c r="IK33" s="136"/>
      <c r="IL33" s="136"/>
      <c r="IM33" s="136"/>
      <c r="IN33" s="136"/>
      <c r="IO33" s="136"/>
      <c r="IP33" s="136"/>
      <c r="IQ33" s="136"/>
      <c r="IR33" s="136"/>
      <c r="IS33" s="136"/>
      <c r="IT33" s="136"/>
      <c r="IU33" s="136"/>
      <c r="IV33" s="136"/>
      <c r="IW33" s="136"/>
    </row>
    <row r="34" spans="1:257" ht="17.25" customHeight="1" x14ac:dyDescent="0.25">
      <c r="A34" s="122" t="s">
        <v>204</v>
      </c>
      <c r="B34" s="122"/>
      <c r="C34" s="122"/>
      <c r="D34" s="122"/>
      <c r="E34" s="122"/>
      <c r="F34" s="122"/>
      <c r="G34" s="122"/>
      <c r="H34" s="122"/>
      <c r="I34" s="122"/>
      <c r="J34" s="122"/>
      <c r="K34" s="122"/>
      <c r="L34" s="122"/>
      <c r="M34" s="122"/>
      <c r="N34" s="122"/>
      <c r="O34" s="122"/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22"/>
      <c r="AA34" s="122"/>
      <c r="AB34" s="122"/>
      <c r="AC34" s="122"/>
      <c r="AD34" s="122"/>
      <c r="AE34" s="122"/>
      <c r="AF34" s="122"/>
      <c r="AG34" s="122"/>
      <c r="AH34" s="122"/>
      <c r="AI34" s="122"/>
      <c r="AJ34" s="122"/>
    </row>
    <row r="35" spans="1:257" ht="39.75" customHeight="1" x14ac:dyDescent="0.25">
      <c r="A35" s="137" t="s">
        <v>237</v>
      </c>
      <c r="B35" s="137"/>
      <c r="C35" s="137"/>
      <c r="D35" s="137"/>
      <c r="E35" s="137"/>
      <c r="F35" s="137"/>
      <c r="G35" s="137"/>
      <c r="H35" s="137"/>
      <c r="I35" s="137"/>
      <c r="J35" s="137"/>
      <c r="K35" s="137"/>
      <c r="L35" s="137"/>
      <c r="M35" s="137"/>
      <c r="N35" s="137"/>
      <c r="O35" s="137"/>
      <c r="P35" s="137"/>
      <c r="Q35" s="137"/>
      <c r="R35" s="137"/>
      <c r="S35" s="137"/>
      <c r="T35" s="137"/>
      <c r="U35" s="137"/>
      <c r="V35" s="137"/>
      <c r="W35" s="137"/>
      <c r="X35" s="137"/>
      <c r="Y35" s="137"/>
      <c r="Z35" s="137"/>
      <c r="AA35" s="137"/>
      <c r="AB35" s="137"/>
      <c r="AC35" s="137"/>
      <c r="AD35" s="137"/>
      <c r="AE35" s="137"/>
      <c r="AF35" s="137"/>
      <c r="AG35" s="137"/>
      <c r="AH35" s="137"/>
      <c r="AI35" s="137"/>
      <c r="AJ35" s="137"/>
    </row>
    <row r="36" spans="1:257" ht="20.25" customHeight="1" x14ac:dyDescent="0.25">
      <c r="A36" s="138"/>
      <c r="B36" s="138"/>
      <c r="C36" s="138"/>
      <c r="D36" s="138"/>
      <c r="E36" s="138"/>
      <c r="F36" s="138"/>
      <c r="G36" s="138"/>
      <c r="H36" s="138"/>
      <c r="I36" s="138"/>
      <c r="J36" s="138"/>
      <c r="K36" s="138"/>
      <c r="L36" s="138"/>
      <c r="M36" s="138"/>
      <c r="N36" s="138"/>
      <c r="O36" s="138"/>
      <c r="P36" s="138"/>
      <c r="Q36" s="138"/>
      <c r="R36" s="138"/>
      <c r="S36" s="138"/>
      <c r="T36" s="138"/>
      <c r="U36" s="138"/>
      <c r="V36" s="138"/>
      <c r="W36" s="138"/>
      <c r="X36" s="138"/>
      <c r="Y36" s="138"/>
      <c r="Z36" s="138"/>
      <c r="AA36" s="138"/>
      <c r="AB36" s="138"/>
      <c r="AC36" s="138"/>
      <c r="AD36" s="138"/>
      <c r="AE36" s="138"/>
      <c r="AF36" s="138"/>
      <c r="AG36" s="138"/>
      <c r="AH36" s="138"/>
      <c r="AI36" s="138"/>
      <c r="AJ36" s="138"/>
    </row>
    <row r="37" spans="1:257" ht="18" customHeight="1" x14ac:dyDescent="0.25">
      <c r="A37" s="139" t="s">
        <v>206</v>
      </c>
      <c r="B37" s="139"/>
      <c r="C37" s="139"/>
      <c r="D37" s="139"/>
      <c r="E37" s="139"/>
      <c r="F37" s="139"/>
      <c r="G37" s="139"/>
      <c r="H37" s="139"/>
      <c r="I37" s="139"/>
      <c r="J37" s="139"/>
      <c r="K37" s="139"/>
      <c r="L37" s="139"/>
      <c r="M37" s="139"/>
      <c r="N37" s="139"/>
      <c r="O37" s="139"/>
      <c r="P37" s="139"/>
      <c r="Q37" s="139"/>
      <c r="R37" s="139"/>
      <c r="S37" s="139"/>
      <c r="T37" s="139"/>
      <c r="U37" s="139"/>
      <c r="V37" s="139"/>
      <c r="W37" s="139"/>
      <c r="X37" s="139"/>
      <c r="Y37" s="139"/>
      <c r="Z37" s="139"/>
      <c r="AA37" s="139"/>
      <c r="AB37" s="139"/>
      <c r="AC37" s="139"/>
      <c r="AD37" s="139"/>
      <c r="AE37" s="139"/>
      <c r="AF37" s="139"/>
      <c r="AG37" s="139"/>
      <c r="AH37" s="139"/>
      <c r="AI37" s="139"/>
      <c r="AJ37" s="139"/>
    </row>
    <row r="38" spans="1:257" ht="11.25" customHeight="1" x14ac:dyDescent="0.25">
      <c r="A38" s="114" t="s">
        <v>238</v>
      </c>
    </row>
    <row r="39" spans="1:257" ht="12" customHeight="1" x14ac:dyDescent="0.3">
      <c r="A39" s="130"/>
      <c r="B39" s="130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130"/>
      <c r="N39" s="130"/>
      <c r="O39" s="130"/>
      <c r="P39" s="130"/>
      <c r="Q39" s="130"/>
      <c r="R39" s="130"/>
      <c r="S39" s="130"/>
      <c r="T39" s="130"/>
      <c r="U39" s="130"/>
      <c r="V39" s="130"/>
      <c r="W39" s="130"/>
      <c r="X39" s="130"/>
      <c r="Y39" s="130"/>
      <c r="Z39" s="130"/>
      <c r="AA39" s="130"/>
      <c r="AB39" s="130"/>
      <c r="AC39" s="130"/>
      <c r="AD39" s="130"/>
      <c r="AE39" s="130"/>
      <c r="AF39" s="130"/>
      <c r="AG39" s="130"/>
      <c r="AH39" s="130"/>
      <c r="AI39" s="130"/>
      <c r="AJ39" s="130"/>
    </row>
    <row r="40" spans="1:257" ht="10.5" customHeight="1" x14ac:dyDescent="0.25">
      <c r="A40" s="139" t="s">
        <v>239</v>
      </c>
      <c r="B40" s="139"/>
      <c r="C40" s="139"/>
      <c r="D40" s="139"/>
      <c r="E40" s="139"/>
      <c r="F40" s="139"/>
      <c r="G40" s="139"/>
      <c r="H40" s="139"/>
      <c r="I40" s="139"/>
      <c r="J40" s="139"/>
      <c r="K40" s="139"/>
      <c r="L40" s="139"/>
      <c r="M40" s="139"/>
      <c r="N40" s="139"/>
      <c r="O40" s="139"/>
      <c r="P40" s="139"/>
      <c r="Q40" s="139"/>
      <c r="R40" s="139"/>
      <c r="S40" s="139"/>
      <c r="T40" s="139"/>
      <c r="U40" s="139"/>
      <c r="V40" s="139"/>
      <c r="W40" s="139"/>
      <c r="X40" s="139"/>
      <c r="Y40" s="139"/>
      <c r="Z40" s="139"/>
      <c r="AA40" s="139"/>
      <c r="AB40" s="139"/>
      <c r="AC40" s="139"/>
      <c r="AD40" s="139"/>
      <c r="AE40" s="139"/>
      <c r="AF40" s="139"/>
      <c r="AG40" s="139"/>
      <c r="AH40" s="139"/>
      <c r="AI40" s="139"/>
      <c r="AJ40" s="139"/>
    </row>
    <row r="41" spans="1:257" ht="10.5" customHeight="1" x14ac:dyDescent="0.25">
      <c r="A41" s="114" t="s">
        <v>240</v>
      </c>
    </row>
    <row r="42" spans="1:257" ht="12" customHeight="1" x14ac:dyDescent="0.25">
      <c r="A42" s="114" t="s">
        <v>241</v>
      </c>
    </row>
    <row r="43" spans="1:257" ht="39" customHeight="1" x14ac:dyDescent="0.25">
      <c r="A43" s="162" t="str">
        <f>CONCATENATE("Строительство закрытого перехода №",[1]Лист1!B2," методом ГНБ; Lпр.=",[1]Лист1!B3," м, Lобщ.=",[1]Лист1!B4," м, одна скважина из 2-х труб d=225 мм, по адресу : ",[1]Лист1!B5,", проверка трубных переходов на проходимость; затягивание шнура; нумерация труб; установка заглушек.")</f>
        <v>Строительство закрытого перехода № методом ГНБ; Lпр.= м, Lобщ.=0 м, одна скважина из 2-х труб d=225 мм, по адресу : , проверка трубных переходов на проходимость; затягивание шнура; нумерация труб; установка заглушек.</v>
      </c>
      <c r="B43" s="162"/>
      <c r="C43" s="162"/>
      <c r="D43" s="162"/>
      <c r="E43" s="162"/>
      <c r="F43" s="162"/>
      <c r="G43" s="162"/>
      <c r="H43" s="162"/>
      <c r="I43" s="162"/>
      <c r="J43" s="162"/>
      <c r="K43" s="162"/>
      <c r="L43" s="162"/>
      <c r="M43" s="162"/>
      <c r="N43" s="162"/>
      <c r="O43" s="162"/>
      <c r="P43" s="162"/>
      <c r="Q43" s="162"/>
      <c r="R43" s="162"/>
      <c r="S43" s="162"/>
      <c r="T43" s="162"/>
      <c r="U43" s="162"/>
      <c r="V43" s="162"/>
      <c r="W43" s="162"/>
      <c r="X43" s="162"/>
      <c r="Y43" s="162"/>
      <c r="Z43" s="162"/>
      <c r="AA43" s="162"/>
      <c r="AB43" s="162"/>
      <c r="AC43" s="162"/>
      <c r="AD43" s="162"/>
      <c r="AE43" s="162"/>
      <c r="AF43" s="162"/>
      <c r="AG43" s="162"/>
      <c r="AH43" s="162"/>
      <c r="AI43" s="162"/>
      <c r="AJ43" s="162"/>
    </row>
    <row r="44" spans="1:257" ht="9.75" customHeight="1" x14ac:dyDescent="0.25">
      <c r="A44" s="122" t="s">
        <v>242</v>
      </c>
      <c r="B44" s="122"/>
      <c r="C44" s="122"/>
      <c r="D44" s="122"/>
      <c r="E44" s="122"/>
      <c r="F44" s="122"/>
      <c r="G44" s="122"/>
      <c r="H44" s="122"/>
      <c r="I44" s="122"/>
      <c r="J44" s="122"/>
      <c r="K44" s="12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  <c r="AA44" s="122"/>
      <c r="AB44" s="122"/>
      <c r="AC44" s="122"/>
      <c r="AD44" s="122"/>
      <c r="AE44" s="122"/>
      <c r="AF44" s="122"/>
      <c r="AG44" s="122"/>
      <c r="AH44" s="122"/>
      <c r="AI44" s="122"/>
      <c r="AJ44" s="122"/>
    </row>
    <row r="45" spans="1:257" ht="12" customHeight="1" x14ac:dyDescent="0.25">
      <c r="A45" s="114" t="s">
        <v>243</v>
      </c>
    </row>
    <row r="46" spans="1:257" ht="12" customHeight="1" x14ac:dyDescent="0.25">
      <c r="A46" s="121">
        <f>'[1]АОСР (1)'!A45:AJ45</f>
        <v>0</v>
      </c>
      <c r="B46" s="121"/>
      <c r="C46" s="121"/>
      <c r="D46" s="121"/>
      <c r="E46" s="121"/>
      <c r="F46" s="121"/>
      <c r="G46" s="121"/>
      <c r="H46" s="121"/>
      <c r="I46" s="121"/>
      <c r="J46" s="121"/>
      <c r="K46" s="121"/>
      <c r="L46" s="121"/>
      <c r="M46" s="121"/>
      <c r="N46" s="121"/>
      <c r="O46" s="121"/>
      <c r="P46" s="121"/>
      <c r="Q46" s="121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  <c r="AC46" s="121"/>
      <c r="AD46" s="121"/>
      <c r="AE46" s="121"/>
      <c r="AF46" s="121"/>
      <c r="AG46" s="121"/>
      <c r="AH46" s="121"/>
      <c r="AI46" s="121"/>
      <c r="AJ46" s="121"/>
    </row>
    <row r="47" spans="1:257" ht="15" customHeight="1" x14ac:dyDescent="0.25">
      <c r="A47" s="122" t="s">
        <v>244</v>
      </c>
      <c r="B47" s="122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  <c r="AA47" s="122"/>
      <c r="AB47" s="122"/>
      <c r="AC47" s="122"/>
      <c r="AD47" s="122"/>
      <c r="AE47" s="122"/>
      <c r="AF47" s="122"/>
      <c r="AG47" s="122"/>
      <c r="AH47" s="122"/>
      <c r="AI47" s="122"/>
      <c r="AJ47" s="122"/>
    </row>
    <row r="48" spans="1:257" ht="15" customHeight="1" x14ac:dyDescent="0.3">
      <c r="A48" s="114" t="s">
        <v>245</v>
      </c>
      <c r="P48" s="163"/>
      <c r="Q48" s="163"/>
      <c r="R48" s="163"/>
      <c r="S48" s="163"/>
      <c r="T48" s="163"/>
      <c r="U48" s="163"/>
      <c r="V48" s="163"/>
      <c r="W48" s="163"/>
      <c r="X48" s="163"/>
      <c r="Y48" s="163"/>
      <c r="Z48" s="163"/>
      <c r="AA48" s="163"/>
      <c r="AB48" s="163"/>
      <c r="AC48" s="163"/>
      <c r="AD48" s="163"/>
      <c r="AE48" s="163"/>
      <c r="AF48" s="163"/>
      <c r="AG48" s="163"/>
      <c r="AH48" s="163"/>
      <c r="AI48" s="163"/>
      <c r="AJ48" s="163"/>
    </row>
    <row r="49" spans="1:257" ht="52.5" customHeight="1" x14ac:dyDescent="0.25">
      <c r="A49" s="164"/>
      <c r="B49" s="164"/>
      <c r="C49" s="164"/>
      <c r="D49" s="164"/>
      <c r="E49" s="164"/>
      <c r="F49" s="164"/>
      <c r="G49" s="164"/>
      <c r="H49" s="164"/>
      <c r="I49" s="164"/>
      <c r="J49" s="164"/>
      <c r="K49" s="164"/>
      <c r="L49" s="164"/>
      <c r="M49" s="164"/>
      <c r="N49" s="164"/>
      <c r="O49" s="164"/>
      <c r="P49" s="164"/>
      <c r="Q49" s="164"/>
      <c r="R49" s="164"/>
      <c r="S49" s="164"/>
      <c r="T49" s="164"/>
      <c r="U49" s="164"/>
      <c r="V49" s="164"/>
      <c r="W49" s="164"/>
      <c r="X49" s="164"/>
      <c r="Y49" s="164"/>
      <c r="Z49" s="164"/>
      <c r="AA49" s="164"/>
      <c r="AB49" s="164"/>
      <c r="AC49" s="164"/>
      <c r="AD49" s="164"/>
      <c r="AE49" s="164"/>
      <c r="AF49" s="164"/>
      <c r="AG49" s="164"/>
      <c r="AH49" s="164"/>
      <c r="AI49" s="164"/>
      <c r="AJ49" s="164"/>
    </row>
    <row r="50" spans="1:257" ht="18" customHeight="1" x14ac:dyDescent="0.25">
      <c r="A50" s="122" t="s">
        <v>246</v>
      </c>
      <c r="B50" s="122"/>
      <c r="C50" s="122"/>
      <c r="D50" s="122"/>
      <c r="E50" s="122"/>
      <c r="F50" s="122"/>
      <c r="G50" s="122"/>
      <c r="H50" s="122"/>
      <c r="I50" s="122"/>
      <c r="J50" s="122"/>
      <c r="K50" s="12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  <c r="AA50" s="122"/>
      <c r="AB50" s="122"/>
      <c r="AC50" s="122"/>
      <c r="AD50" s="122"/>
      <c r="AE50" s="122"/>
      <c r="AF50" s="122"/>
      <c r="AG50" s="122"/>
      <c r="AH50" s="122"/>
      <c r="AI50" s="122"/>
      <c r="AJ50" s="122"/>
    </row>
    <row r="51" spans="1:257" ht="12.75" customHeight="1" x14ac:dyDescent="0.25">
      <c r="A51" s="114" t="s">
        <v>247</v>
      </c>
    </row>
    <row r="52" spans="1:257" ht="12" customHeight="1" x14ac:dyDescent="0.25">
      <c r="A52" s="114" t="s">
        <v>248</v>
      </c>
      <c r="G52" s="165" t="str">
        <f>CONCATENATE("Исполнительный чертеж ЗП №",[1]Лист1!B2," (по адресу: ",[1]Лист1!B5,")")</f>
        <v>Исполнительный чертеж ЗП № (по адресу: )</v>
      </c>
      <c r="H52" s="165"/>
      <c r="I52" s="165"/>
      <c r="J52" s="165"/>
      <c r="K52" s="165"/>
      <c r="L52" s="165"/>
      <c r="M52" s="165"/>
      <c r="N52" s="165"/>
      <c r="O52" s="165"/>
      <c r="P52" s="165"/>
      <c r="Q52" s="165"/>
      <c r="R52" s="165"/>
      <c r="S52" s="165"/>
      <c r="T52" s="165"/>
      <c r="U52" s="165"/>
      <c r="V52" s="165"/>
      <c r="W52" s="165"/>
      <c r="X52" s="165"/>
      <c r="Y52" s="165"/>
      <c r="Z52" s="165"/>
      <c r="AA52" s="165"/>
      <c r="AB52" s="165"/>
      <c r="AC52" s="165"/>
      <c r="AD52" s="165"/>
      <c r="AE52" s="165"/>
      <c r="AF52" s="165"/>
      <c r="AG52" s="165"/>
      <c r="AH52" s="165"/>
      <c r="AI52" s="165"/>
      <c r="AJ52" s="165"/>
    </row>
    <row r="53" spans="1:257" ht="12" customHeight="1" x14ac:dyDescent="0.25">
      <c r="A53" s="153" t="s">
        <v>249</v>
      </c>
      <c r="B53" s="153"/>
      <c r="C53" s="153"/>
      <c r="D53" s="153"/>
      <c r="E53" s="153"/>
      <c r="F53" s="153"/>
      <c r="G53" s="153"/>
      <c r="H53" s="153"/>
      <c r="I53" s="153"/>
      <c r="J53" s="153"/>
      <c r="K53" s="153"/>
      <c r="L53" s="153"/>
      <c r="M53" s="153"/>
      <c r="N53" s="153"/>
      <c r="O53" s="153"/>
      <c r="P53" s="153"/>
      <c r="Q53" s="153"/>
      <c r="R53" s="153"/>
      <c r="S53" s="153"/>
      <c r="T53" s="153"/>
      <c r="U53" s="153"/>
      <c r="V53" s="153"/>
      <c r="W53" s="153"/>
      <c r="X53" s="153"/>
      <c r="Y53" s="153"/>
      <c r="Z53" s="153"/>
      <c r="AA53" s="153"/>
      <c r="AB53" s="153"/>
      <c r="AC53" s="153"/>
      <c r="AD53" s="153"/>
      <c r="AE53" s="153"/>
      <c r="AF53" s="153"/>
      <c r="AG53" s="153"/>
      <c r="AH53" s="153"/>
      <c r="AI53" s="153"/>
      <c r="AJ53" s="153"/>
    </row>
    <row r="54" spans="1:257" ht="13.5" customHeight="1" x14ac:dyDescent="0.3">
      <c r="A54" s="114" t="s">
        <v>250</v>
      </c>
      <c r="B54" s="114"/>
      <c r="C54" s="114"/>
      <c r="D54" s="166"/>
      <c r="E54" s="166"/>
      <c r="F54" s="166"/>
      <c r="G54" s="166"/>
      <c r="H54" s="114"/>
      <c r="I54" s="114"/>
      <c r="J54" s="114"/>
      <c r="K54" s="114"/>
      <c r="L54" s="129" t="s">
        <v>191</v>
      </c>
      <c r="M54" s="130">
        <f>[1]Лист1!C6</f>
        <v>0</v>
      </c>
      <c r="N54" s="130"/>
      <c r="O54" s="114" t="s">
        <v>191</v>
      </c>
      <c r="P54" s="130">
        <f>[1]Лист1!D6</f>
        <v>0</v>
      </c>
      <c r="Q54" s="130"/>
      <c r="R54" s="130"/>
      <c r="S54" s="130"/>
      <c r="T54" s="114"/>
      <c r="U54" s="130">
        <f>[1]Лист1!E6</f>
        <v>0</v>
      </c>
      <c r="V54" s="130"/>
      <c r="W54" s="130"/>
      <c r="X54" s="114" t="s">
        <v>192</v>
      </c>
      <c r="Y54" s="114"/>
      <c r="Z54" s="114"/>
      <c r="AA54" s="114"/>
      <c r="AB54" s="114"/>
      <c r="AC54" s="114"/>
      <c r="AD54" s="114"/>
      <c r="AE54" s="114"/>
      <c r="AF54" s="114"/>
      <c r="AG54" s="114"/>
      <c r="AH54" s="114"/>
      <c r="AI54" s="114"/>
      <c r="AJ54" s="114"/>
    </row>
    <row r="55" spans="1:257" ht="12" customHeight="1" x14ac:dyDescent="0.3">
      <c r="A55" s="114" t="s">
        <v>251</v>
      </c>
      <c r="B55" s="114"/>
      <c r="C55" s="114"/>
      <c r="D55" s="166"/>
      <c r="E55" s="166"/>
      <c r="F55" s="166"/>
      <c r="G55" s="166"/>
      <c r="H55" s="114"/>
      <c r="I55" s="114"/>
      <c r="J55" s="114"/>
      <c r="K55" s="114"/>
      <c r="L55" s="129" t="s">
        <v>191</v>
      </c>
      <c r="M55" s="167">
        <f>[1]Лист1!C7</f>
        <v>0</v>
      </c>
      <c r="N55" s="167"/>
      <c r="O55" s="114" t="s">
        <v>191</v>
      </c>
      <c r="P55" s="167">
        <f>[1]Лист1!D7</f>
        <v>0</v>
      </c>
      <c r="Q55" s="167"/>
      <c r="R55" s="167"/>
      <c r="S55" s="167"/>
      <c r="T55" s="114"/>
      <c r="U55" s="167">
        <f>[1]Лист1!E7</f>
        <v>0</v>
      </c>
      <c r="V55" s="167"/>
      <c r="W55" s="167"/>
      <c r="X55" s="114" t="s">
        <v>192</v>
      </c>
      <c r="Y55" s="114"/>
      <c r="Z55" s="114"/>
      <c r="AA55" s="114"/>
      <c r="AB55" s="114"/>
      <c r="AC55" s="114"/>
      <c r="AD55" s="114"/>
      <c r="AE55" s="114"/>
      <c r="AF55" s="114"/>
      <c r="AG55" s="114"/>
      <c r="AH55" s="114"/>
      <c r="AI55" s="114"/>
      <c r="AJ55" s="114"/>
      <c r="AK55" s="114"/>
      <c r="AL55" s="114"/>
      <c r="AM55" s="114"/>
      <c r="AN55" s="114"/>
      <c r="AO55" s="114"/>
      <c r="AP55" s="114"/>
      <c r="AQ55" s="114"/>
      <c r="AR55" s="114"/>
      <c r="AS55" s="114"/>
      <c r="AT55" s="114"/>
      <c r="AU55" s="114"/>
      <c r="AV55" s="114"/>
      <c r="AW55" s="114"/>
      <c r="AX55" s="114"/>
      <c r="AY55" s="114"/>
      <c r="AZ55" s="114"/>
      <c r="BA55" s="114"/>
      <c r="BB55" s="114"/>
      <c r="BC55" s="114"/>
      <c r="BD55" s="114"/>
      <c r="BE55" s="114"/>
      <c r="BF55" s="114"/>
      <c r="BG55" s="114"/>
      <c r="BH55" s="114"/>
      <c r="BI55" s="114"/>
      <c r="BJ55" s="114"/>
      <c r="BK55" s="114"/>
      <c r="BL55" s="114"/>
      <c r="BM55" s="114"/>
      <c r="BN55" s="114"/>
      <c r="BO55" s="114"/>
      <c r="BP55" s="114"/>
      <c r="BQ55" s="114"/>
      <c r="BR55" s="114"/>
      <c r="BS55" s="114"/>
      <c r="BT55" s="114"/>
      <c r="BU55" s="114"/>
      <c r="BV55" s="114"/>
      <c r="BW55" s="114"/>
      <c r="BX55" s="114"/>
      <c r="BY55" s="114"/>
      <c r="BZ55" s="114"/>
      <c r="CA55" s="114"/>
      <c r="CB55" s="114"/>
      <c r="CC55" s="114"/>
      <c r="CD55" s="114"/>
      <c r="CE55" s="114"/>
      <c r="CF55" s="114"/>
      <c r="CG55" s="114"/>
      <c r="CH55" s="114"/>
      <c r="CI55" s="114"/>
      <c r="CJ55" s="114"/>
      <c r="CK55" s="114"/>
      <c r="CL55" s="114"/>
      <c r="CM55" s="114"/>
      <c r="CN55" s="114"/>
      <c r="CO55" s="114"/>
      <c r="CP55" s="114"/>
      <c r="CQ55" s="114"/>
      <c r="CR55" s="114"/>
      <c r="CS55" s="114"/>
      <c r="CT55" s="114"/>
      <c r="CU55" s="114"/>
      <c r="CV55" s="114"/>
      <c r="CW55" s="114"/>
      <c r="CX55" s="114"/>
      <c r="CY55" s="114"/>
      <c r="CZ55" s="114"/>
      <c r="DA55" s="114"/>
      <c r="DB55" s="114"/>
      <c r="DC55" s="114"/>
      <c r="DD55" s="114"/>
      <c r="DE55" s="114"/>
      <c r="DF55" s="114"/>
      <c r="DG55" s="114"/>
      <c r="DH55" s="114"/>
      <c r="DI55" s="114"/>
      <c r="DJ55" s="114"/>
      <c r="DK55" s="114"/>
      <c r="DL55" s="114"/>
      <c r="DM55" s="114"/>
      <c r="DN55" s="114"/>
      <c r="DO55" s="114"/>
      <c r="DP55" s="114"/>
      <c r="DQ55" s="114"/>
      <c r="DR55" s="114"/>
      <c r="DS55" s="114"/>
      <c r="DT55" s="114"/>
      <c r="DU55" s="114"/>
      <c r="DV55" s="114"/>
      <c r="DW55" s="114"/>
      <c r="DX55" s="114"/>
      <c r="DY55" s="114"/>
      <c r="DZ55" s="114"/>
      <c r="EA55" s="114"/>
      <c r="EB55" s="114"/>
      <c r="EC55" s="114"/>
      <c r="ED55" s="114"/>
      <c r="EE55" s="114"/>
      <c r="EF55" s="114"/>
      <c r="EG55" s="114"/>
      <c r="EH55" s="114"/>
      <c r="EI55" s="114"/>
      <c r="EJ55" s="114"/>
      <c r="EK55" s="114"/>
      <c r="EL55" s="114"/>
      <c r="EM55" s="114"/>
      <c r="EN55" s="114"/>
      <c r="EO55" s="114"/>
      <c r="EP55" s="114"/>
      <c r="EQ55" s="114"/>
      <c r="ER55" s="114"/>
      <c r="ES55" s="114"/>
      <c r="ET55" s="114"/>
      <c r="EU55" s="114"/>
      <c r="EV55" s="114"/>
      <c r="EW55" s="114"/>
      <c r="EX55" s="114"/>
      <c r="EY55" s="114"/>
      <c r="EZ55" s="114"/>
      <c r="FA55" s="114"/>
      <c r="FB55" s="114"/>
      <c r="FC55" s="114"/>
      <c r="FD55" s="114"/>
      <c r="FE55" s="114"/>
      <c r="FF55" s="114"/>
      <c r="FG55" s="114"/>
      <c r="FH55" s="114"/>
      <c r="FI55" s="114"/>
      <c r="FJ55" s="114"/>
      <c r="FK55" s="114"/>
      <c r="FL55" s="114"/>
      <c r="FM55" s="114"/>
      <c r="FN55" s="114"/>
      <c r="FO55" s="114"/>
      <c r="FP55" s="114"/>
      <c r="FQ55" s="114"/>
      <c r="FR55" s="114"/>
      <c r="FS55" s="114"/>
      <c r="FT55" s="114"/>
      <c r="FU55" s="114"/>
      <c r="FV55" s="114"/>
      <c r="FW55" s="114"/>
      <c r="FX55" s="114"/>
      <c r="FY55" s="114"/>
      <c r="FZ55" s="114"/>
      <c r="GA55" s="114"/>
      <c r="GB55" s="114"/>
      <c r="GC55" s="114"/>
      <c r="GD55" s="114"/>
      <c r="GE55" s="114"/>
      <c r="GF55" s="114"/>
      <c r="GG55" s="114"/>
      <c r="GH55" s="114"/>
      <c r="GI55" s="114"/>
      <c r="GJ55" s="114"/>
      <c r="GK55" s="114"/>
      <c r="GL55" s="114"/>
      <c r="GM55" s="114"/>
      <c r="GN55" s="114"/>
      <c r="GO55" s="114"/>
      <c r="GP55" s="114"/>
      <c r="GQ55" s="114"/>
      <c r="GR55" s="114"/>
      <c r="GS55" s="114"/>
      <c r="GT55" s="114"/>
      <c r="GU55" s="114"/>
      <c r="GV55" s="114"/>
      <c r="GW55" s="114"/>
      <c r="GX55" s="114"/>
      <c r="GY55" s="114"/>
      <c r="GZ55" s="114"/>
      <c r="HA55" s="114"/>
      <c r="HB55" s="114"/>
      <c r="HC55" s="114"/>
      <c r="HD55" s="114"/>
      <c r="HE55" s="114"/>
      <c r="HF55" s="114"/>
      <c r="HG55" s="114"/>
      <c r="HH55" s="114"/>
      <c r="HI55" s="114"/>
      <c r="HJ55" s="114"/>
      <c r="HK55" s="114"/>
      <c r="HL55" s="114"/>
      <c r="HM55" s="114"/>
      <c r="HN55" s="114"/>
      <c r="HO55" s="114"/>
      <c r="HP55" s="114"/>
      <c r="HQ55" s="114"/>
      <c r="HR55" s="114"/>
      <c r="HS55" s="114"/>
      <c r="HT55" s="114"/>
      <c r="HU55" s="114"/>
      <c r="HV55" s="114"/>
      <c r="HW55" s="114"/>
      <c r="HX55" s="114"/>
      <c r="HY55" s="114"/>
      <c r="HZ55" s="114"/>
      <c r="IA55" s="114"/>
      <c r="IB55" s="114"/>
      <c r="IC55" s="114"/>
      <c r="ID55" s="114"/>
      <c r="IE55" s="114"/>
      <c r="IF55" s="114"/>
      <c r="IG55" s="114"/>
      <c r="IH55" s="114"/>
      <c r="II55" s="114"/>
      <c r="IJ55" s="114"/>
      <c r="IK55" s="114"/>
      <c r="IL55" s="114"/>
      <c r="IM55" s="114"/>
      <c r="IN55" s="114"/>
      <c r="IO55" s="114"/>
      <c r="IP55" s="114"/>
      <c r="IQ55" s="114"/>
      <c r="IR55" s="114"/>
      <c r="IS55" s="114"/>
      <c r="IT55" s="114"/>
      <c r="IU55" s="114"/>
      <c r="IV55" s="114"/>
      <c r="IW55" s="114"/>
    </row>
    <row r="56" spans="1:257" ht="4.5" customHeight="1" x14ac:dyDescent="0.25">
      <c r="A56" s="168"/>
      <c r="B56" s="168"/>
      <c r="C56" s="168"/>
      <c r="D56" s="169"/>
      <c r="E56" s="169"/>
      <c r="F56" s="169"/>
      <c r="G56" s="169"/>
      <c r="AK56" s="114"/>
      <c r="AL56" s="114"/>
      <c r="AM56" s="114"/>
      <c r="AN56" s="114"/>
      <c r="AO56" s="114"/>
      <c r="AP56" s="114"/>
      <c r="AQ56" s="114"/>
      <c r="AR56" s="114"/>
      <c r="AS56" s="114"/>
      <c r="AT56" s="114"/>
      <c r="AU56" s="114"/>
      <c r="AV56" s="114"/>
      <c r="AW56" s="114"/>
      <c r="AX56" s="114"/>
      <c r="AY56" s="114"/>
      <c r="AZ56" s="114"/>
      <c r="BA56" s="114"/>
      <c r="BB56" s="114"/>
      <c r="BC56" s="114"/>
      <c r="BD56" s="114"/>
      <c r="BE56" s="114"/>
      <c r="BF56" s="114"/>
      <c r="BG56" s="114"/>
      <c r="BH56" s="114"/>
      <c r="BI56" s="114"/>
      <c r="BJ56" s="114"/>
      <c r="BK56" s="114"/>
      <c r="BL56" s="114"/>
      <c r="BM56" s="114"/>
      <c r="BN56" s="114"/>
      <c r="BO56" s="114"/>
      <c r="BP56" s="114"/>
      <c r="BQ56" s="114"/>
      <c r="BR56" s="114"/>
      <c r="BS56" s="114"/>
      <c r="BT56" s="114"/>
      <c r="BU56" s="114"/>
      <c r="BV56" s="114"/>
      <c r="BW56" s="114"/>
      <c r="BX56" s="114"/>
      <c r="BY56" s="114"/>
      <c r="BZ56" s="114"/>
      <c r="CA56" s="114"/>
      <c r="CB56" s="114"/>
      <c r="CC56" s="114"/>
      <c r="CD56" s="114"/>
      <c r="CE56" s="114"/>
      <c r="CF56" s="114"/>
      <c r="CG56" s="114"/>
      <c r="CH56" s="114"/>
      <c r="CI56" s="114"/>
      <c r="CJ56" s="114"/>
      <c r="CK56" s="114"/>
      <c r="CL56" s="114"/>
      <c r="CM56" s="114"/>
      <c r="CN56" s="114"/>
      <c r="CO56" s="114"/>
      <c r="CP56" s="114"/>
      <c r="CQ56" s="114"/>
      <c r="CR56" s="114"/>
      <c r="CS56" s="114"/>
      <c r="CT56" s="114"/>
      <c r="CU56" s="114"/>
      <c r="CV56" s="114"/>
      <c r="CW56" s="114"/>
      <c r="CX56" s="114"/>
      <c r="CY56" s="114"/>
      <c r="CZ56" s="114"/>
      <c r="DA56" s="114"/>
      <c r="DB56" s="114"/>
      <c r="DC56" s="114"/>
      <c r="DD56" s="114"/>
      <c r="DE56" s="114"/>
      <c r="DF56" s="114"/>
      <c r="DG56" s="114"/>
      <c r="DH56" s="114"/>
      <c r="DI56" s="114"/>
      <c r="DJ56" s="114"/>
      <c r="DK56" s="114"/>
      <c r="DL56" s="114"/>
      <c r="DM56" s="114"/>
      <c r="DN56" s="114"/>
      <c r="DO56" s="114"/>
      <c r="DP56" s="114"/>
      <c r="DQ56" s="114"/>
      <c r="DR56" s="114"/>
      <c r="DS56" s="114"/>
      <c r="DT56" s="114"/>
      <c r="DU56" s="114"/>
      <c r="DV56" s="114"/>
      <c r="DW56" s="114"/>
      <c r="DX56" s="114"/>
      <c r="DY56" s="114"/>
      <c r="DZ56" s="114"/>
      <c r="EA56" s="114"/>
      <c r="EB56" s="114"/>
      <c r="EC56" s="114"/>
      <c r="ED56" s="114"/>
      <c r="EE56" s="114"/>
      <c r="EF56" s="114"/>
      <c r="EG56" s="114"/>
      <c r="EH56" s="114"/>
      <c r="EI56" s="114"/>
      <c r="EJ56" s="114"/>
      <c r="EK56" s="114"/>
      <c r="EL56" s="114"/>
      <c r="EM56" s="114"/>
      <c r="EN56" s="114"/>
      <c r="EO56" s="114"/>
      <c r="EP56" s="114"/>
      <c r="EQ56" s="114"/>
      <c r="ER56" s="114"/>
      <c r="ES56" s="114"/>
      <c r="ET56" s="114"/>
      <c r="EU56" s="114"/>
      <c r="EV56" s="114"/>
      <c r="EW56" s="114"/>
      <c r="EX56" s="114"/>
      <c r="EY56" s="114"/>
      <c r="EZ56" s="114"/>
      <c r="FA56" s="114"/>
      <c r="FB56" s="114"/>
      <c r="FC56" s="114"/>
      <c r="FD56" s="114"/>
      <c r="FE56" s="114"/>
      <c r="FF56" s="114"/>
      <c r="FG56" s="114"/>
      <c r="FH56" s="114"/>
      <c r="FI56" s="114"/>
      <c r="FJ56" s="114"/>
      <c r="FK56" s="114"/>
      <c r="FL56" s="114"/>
      <c r="FM56" s="114"/>
      <c r="FN56" s="114"/>
      <c r="FO56" s="114"/>
      <c r="FP56" s="114"/>
      <c r="FQ56" s="114"/>
      <c r="FR56" s="114"/>
      <c r="FS56" s="114"/>
      <c r="FT56" s="114"/>
      <c r="FU56" s="114"/>
      <c r="FV56" s="114"/>
      <c r="FW56" s="114"/>
      <c r="FX56" s="114"/>
      <c r="FY56" s="114"/>
      <c r="FZ56" s="114"/>
      <c r="GA56" s="114"/>
      <c r="GB56" s="114"/>
      <c r="GC56" s="114"/>
      <c r="GD56" s="114"/>
      <c r="GE56" s="114"/>
      <c r="GF56" s="114"/>
      <c r="GG56" s="114"/>
      <c r="GH56" s="114"/>
      <c r="GI56" s="114"/>
      <c r="GJ56" s="114"/>
      <c r="GK56" s="114"/>
      <c r="GL56" s="114"/>
      <c r="GM56" s="114"/>
      <c r="GN56" s="114"/>
      <c r="GO56" s="114"/>
      <c r="GP56" s="114"/>
      <c r="GQ56" s="114"/>
      <c r="GR56" s="114"/>
      <c r="GS56" s="114"/>
      <c r="GT56" s="114"/>
      <c r="GU56" s="114"/>
      <c r="GV56" s="114"/>
      <c r="GW56" s="114"/>
      <c r="GX56" s="114"/>
      <c r="GY56" s="114"/>
      <c r="GZ56" s="114"/>
      <c r="HA56" s="114"/>
      <c r="HB56" s="114"/>
      <c r="HC56" s="114"/>
      <c r="HD56" s="114"/>
      <c r="HE56" s="114"/>
      <c r="HF56" s="114"/>
      <c r="HG56" s="114"/>
      <c r="HH56" s="114"/>
      <c r="HI56" s="114"/>
      <c r="HJ56" s="114"/>
      <c r="HK56" s="114"/>
      <c r="HL56" s="114"/>
      <c r="HM56" s="114"/>
      <c r="HN56" s="114"/>
      <c r="HO56" s="114"/>
      <c r="HP56" s="114"/>
      <c r="HQ56" s="114"/>
      <c r="HR56" s="114"/>
      <c r="HS56" s="114"/>
      <c r="HT56" s="114"/>
      <c r="HU56" s="114"/>
      <c r="HV56" s="114"/>
      <c r="HW56" s="114"/>
      <c r="HX56" s="114"/>
      <c r="HY56" s="114"/>
      <c r="HZ56" s="114"/>
      <c r="IA56" s="114"/>
      <c r="IB56" s="114"/>
      <c r="IC56" s="114"/>
      <c r="ID56" s="114"/>
      <c r="IE56" s="114"/>
      <c r="IF56" s="114"/>
      <c r="IG56" s="114"/>
      <c r="IH56" s="114"/>
      <c r="II56" s="114"/>
      <c r="IJ56" s="114"/>
      <c r="IK56" s="114"/>
      <c r="IL56" s="114"/>
      <c r="IM56" s="114"/>
      <c r="IN56" s="114"/>
      <c r="IO56" s="114"/>
      <c r="IP56" s="114"/>
      <c r="IQ56" s="114"/>
      <c r="IR56" s="114"/>
      <c r="IS56" s="114"/>
      <c r="IT56" s="114"/>
      <c r="IU56" s="114"/>
      <c r="IV56" s="114"/>
      <c r="IW56" s="114"/>
    </row>
    <row r="57" spans="1:257" ht="9.75" customHeight="1" x14ac:dyDescent="0.25">
      <c r="A57" s="114" t="s">
        <v>252</v>
      </c>
      <c r="O57" s="128">
        <f>A46</f>
        <v>0</v>
      </c>
      <c r="P57" s="128"/>
      <c r="Q57" s="128"/>
      <c r="R57" s="128"/>
      <c r="S57" s="128"/>
      <c r="T57" s="128"/>
      <c r="U57" s="128"/>
      <c r="V57" s="128"/>
      <c r="W57" s="128"/>
      <c r="X57" s="128"/>
      <c r="Y57" s="128"/>
      <c r="Z57" s="128"/>
      <c r="AA57" s="128"/>
      <c r="AB57" s="128"/>
      <c r="AC57" s="128"/>
      <c r="AD57" s="128"/>
      <c r="AE57" s="128"/>
      <c r="AF57" s="128"/>
      <c r="AG57" s="128"/>
      <c r="AH57" s="128"/>
      <c r="AI57" s="128"/>
      <c r="AJ57" s="128"/>
    </row>
    <row r="58" spans="1:257" ht="12.75" customHeight="1" x14ac:dyDescent="0.25">
      <c r="A58" s="114" t="s">
        <v>253</v>
      </c>
    </row>
    <row r="59" spans="1:257" ht="12" customHeight="1" x14ac:dyDescent="0.3">
      <c r="A59" s="130"/>
      <c r="B59" s="130"/>
      <c r="C59" s="130"/>
      <c r="D59" s="130"/>
      <c r="E59" s="130"/>
      <c r="F59" s="130"/>
      <c r="G59" s="130"/>
      <c r="H59" s="130"/>
      <c r="I59" s="130"/>
      <c r="J59" s="130"/>
      <c r="K59" s="130"/>
      <c r="L59" s="130"/>
      <c r="M59" s="130"/>
      <c r="N59" s="130"/>
      <c r="O59" s="130"/>
      <c r="P59" s="130"/>
      <c r="Q59" s="130"/>
      <c r="R59" s="130"/>
      <c r="S59" s="130"/>
      <c r="T59" s="130"/>
      <c r="U59" s="130"/>
      <c r="V59" s="130"/>
      <c r="W59" s="130"/>
      <c r="X59" s="130"/>
      <c r="Y59" s="130"/>
      <c r="Z59" s="130"/>
      <c r="AA59" s="130"/>
      <c r="AB59" s="130"/>
      <c r="AC59" s="130"/>
      <c r="AD59" s="130"/>
      <c r="AE59" s="130"/>
      <c r="AF59" s="130"/>
      <c r="AG59" s="130"/>
      <c r="AH59" s="130"/>
      <c r="AI59" s="130"/>
      <c r="AJ59" s="130"/>
    </row>
    <row r="60" spans="1:257" ht="12" customHeight="1" x14ac:dyDescent="0.25">
      <c r="A60" s="122" t="s">
        <v>254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2"/>
      <c r="AD60" s="122"/>
      <c r="AE60" s="122"/>
      <c r="AF60" s="122"/>
      <c r="AG60" s="122"/>
      <c r="AH60" s="122"/>
      <c r="AI60" s="122"/>
      <c r="AJ60" s="122"/>
    </row>
    <row r="61" spans="1:257" ht="12.75" customHeight="1" x14ac:dyDescent="0.3">
      <c r="A61" s="114" t="s">
        <v>221</v>
      </c>
      <c r="B61" s="114"/>
      <c r="C61" s="114"/>
      <c r="D61" s="114"/>
      <c r="E61" s="114"/>
      <c r="F61" s="114"/>
      <c r="G61" s="114"/>
      <c r="H61" s="114"/>
      <c r="I61" s="114"/>
      <c r="J61" s="114"/>
      <c r="K61" s="114"/>
      <c r="L61" s="130" t="s">
        <v>222</v>
      </c>
      <c r="M61" s="130"/>
      <c r="N61" s="130"/>
      <c r="O61" s="130"/>
      <c r="P61" s="130"/>
      <c r="Q61" s="130"/>
      <c r="R61" s="130"/>
      <c r="S61" s="130"/>
      <c r="T61" s="130"/>
      <c r="U61" s="130"/>
      <c r="V61" s="130"/>
      <c r="W61" s="130"/>
      <c r="X61" s="130"/>
      <c r="Y61" s="130"/>
      <c r="Z61" s="130"/>
      <c r="AA61" s="130"/>
      <c r="AB61" s="130"/>
      <c r="AC61" s="130"/>
      <c r="AD61" s="130"/>
      <c r="AE61" s="130"/>
      <c r="AF61" s="130"/>
      <c r="AG61" s="130"/>
      <c r="AH61" s="130"/>
      <c r="AI61" s="130"/>
      <c r="AJ61" s="130"/>
    </row>
    <row r="62" spans="1:257" ht="15" customHeight="1" x14ac:dyDescent="0.3">
      <c r="A62" s="114" t="s">
        <v>223</v>
      </c>
      <c r="B62" s="114"/>
      <c r="C62" s="114"/>
      <c r="D62" s="114"/>
      <c r="E62" s="114"/>
      <c r="F62" s="114"/>
      <c r="G62" s="114"/>
      <c r="H62" s="130">
        <v>4</v>
      </c>
      <c r="I62" s="130"/>
      <c r="J62" s="114" t="s">
        <v>224</v>
      </c>
      <c r="K62" s="114"/>
      <c r="L62" s="114"/>
      <c r="M62" s="114"/>
      <c r="N62" s="114"/>
      <c r="O62" s="114"/>
      <c r="P62" s="114"/>
      <c r="Q62" s="114"/>
      <c r="R62" s="114"/>
      <c r="S62" s="114"/>
      <c r="T62" s="114"/>
      <c r="U62" s="114"/>
      <c r="V62" s="114"/>
      <c r="W62" s="114"/>
      <c r="X62" s="114"/>
      <c r="Y62" s="114"/>
      <c r="Z62" s="114"/>
      <c r="AA62" s="114"/>
      <c r="AB62" s="114"/>
      <c r="AC62" s="114"/>
      <c r="AD62" s="114"/>
      <c r="AE62" s="114"/>
      <c r="AF62" s="114"/>
      <c r="AG62" s="114"/>
      <c r="AH62" s="114"/>
      <c r="AI62" s="114"/>
      <c r="AJ62" s="114"/>
    </row>
    <row r="63" spans="1:257" ht="12.75" customHeight="1" x14ac:dyDescent="0.25">
      <c r="A63" s="114" t="s">
        <v>225</v>
      </c>
    </row>
    <row r="64" spans="1:257" ht="12.75" customHeight="1" x14ac:dyDescent="0.25">
      <c r="A64" s="152" t="str">
        <f>CONCATENATE("1. ",G52)</f>
        <v>1. Исполнительный чертеж ЗП № (по адресу: )</v>
      </c>
      <c r="B64" s="152"/>
      <c r="C64" s="152"/>
      <c r="D64" s="152"/>
      <c r="E64" s="152"/>
      <c r="F64" s="152"/>
      <c r="G64" s="152"/>
      <c r="H64" s="152"/>
      <c r="I64" s="152"/>
      <c r="J64" s="152"/>
      <c r="K64" s="152"/>
      <c r="L64" s="152"/>
      <c r="M64" s="152"/>
      <c r="N64" s="152"/>
      <c r="O64" s="152"/>
      <c r="P64" s="152"/>
      <c r="Q64" s="152"/>
      <c r="R64" s="152"/>
      <c r="S64" s="152"/>
      <c r="T64" s="152"/>
      <c r="U64" s="152"/>
      <c r="V64" s="152"/>
      <c r="W64" s="152"/>
      <c r="X64" s="152"/>
      <c r="Y64" s="152"/>
      <c r="Z64" s="152"/>
      <c r="AA64" s="152"/>
      <c r="AB64" s="152"/>
      <c r="AC64" s="152"/>
      <c r="AD64" s="152"/>
      <c r="AE64" s="152"/>
      <c r="AF64" s="152"/>
      <c r="AG64" s="152"/>
      <c r="AH64" s="152"/>
      <c r="AI64" s="152"/>
      <c r="AJ64" s="152"/>
    </row>
    <row r="65" spans="1:257" ht="52.5" customHeight="1" x14ac:dyDescent="0.25">
      <c r="A65" s="164" t="str">
        <f>CONCATENATE("2. ",A49)</f>
        <v xml:space="preserve">2. </v>
      </c>
      <c r="B65" s="164"/>
      <c r="C65" s="164"/>
      <c r="D65" s="164"/>
      <c r="E65" s="164"/>
      <c r="F65" s="164"/>
      <c r="G65" s="164"/>
      <c r="H65" s="164"/>
      <c r="I65" s="164"/>
      <c r="J65" s="164"/>
      <c r="K65" s="164"/>
      <c r="L65" s="164"/>
      <c r="M65" s="164"/>
      <c r="N65" s="164"/>
      <c r="O65" s="164"/>
      <c r="P65" s="164"/>
      <c r="Q65" s="164"/>
      <c r="R65" s="164"/>
      <c r="S65" s="164"/>
      <c r="T65" s="164"/>
      <c r="U65" s="164"/>
      <c r="V65" s="164"/>
      <c r="W65" s="164"/>
      <c r="X65" s="164"/>
      <c r="Y65" s="164"/>
      <c r="Z65" s="164"/>
      <c r="AA65" s="164"/>
      <c r="AB65" s="164"/>
      <c r="AC65" s="164"/>
      <c r="AD65" s="164"/>
      <c r="AE65" s="164"/>
      <c r="AF65" s="164"/>
      <c r="AG65" s="164"/>
      <c r="AH65" s="164"/>
      <c r="AI65" s="164"/>
      <c r="AJ65" s="164"/>
    </row>
    <row r="66" spans="1:257" ht="10.5" customHeight="1" x14ac:dyDescent="0.25">
      <c r="A66" s="122" t="s">
        <v>227</v>
      </c>
      <c r="B66" s="122"/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  <c r="AA66" s="122"/>
      <c r="AB66" s="122"/>
      <c r="AC66" s="122"/>
      <c r="AD66" s="122"/>
      <c r="AE66" s="122"/>
      <c r="AF66" s="122"/>
      <c r="AG66" s="122"/>
      <c r="AH66" s="122"/>
      <c r="AI66" s="122"/>
      <c r="AJ66" s="122"/>
    </row>
    <row r="67" spans="1:257" ht="13.5" customHeight="1" x14ac:dyDescent="0.25">
      <c r="A67" s="114" t="s">
        <v>228</v>
      </c>
    </row>
    <row r="68" spans="1:257" ht="12" customHeight="1" x14ac:dyDescent="0.25">
      <c r="A68" s="114" t="s">
        <v>229</v>
      </c>
    </row>
    <row r="69" spans="1:257" ht="28.5" customHeight="1" x14ac:dyDescent="0.3">
      <c r="A69" s="130"/>
      <c r="B69" s="130"/>
      <c r="C69" s="130"/>
      <c r="D69" s="130"/>
      <c r="E69" s="130"/>
      <c r="F69" s="130"/>
      <c r="G69" s="130"/>
      <c r="H69" s="130"/>
      <c r="I69" s="130"/>
      <c r="J69" s="130"/>
      <c r="K69" s="130"/>
      <c r="L69" s="130"/>
      <c r="M69" s="130"/>
      <c r="N69" s="130"/>
      <c r="O69" s="130"/>
      <c r="P69" s="155"/>
      <c r="Q69" s="155"/>
      <c r="R69" s="155"/>
      <c r="S69" s="155"/>
      <c r="T69" s="155"/>
      <c r="U69" s="155"/>
      <c r="V69" s="155"/>
      <c r="W69" s="155"/>
      <c r="X69" s="155"/>
      <c r="Y69" s="155"/>
      <c r="Z69" s="155"/>
      <c r="AA69" s="155"/>
      <c r="AB69" s="130"/>
      <c r="AC69" s="130"/>
      <c r="AD69" s="130"/>
      <c r="AE69" s="130"/>
      <c r="AF69" s="130"/>
      <c r="AG69" s="130"/>
      <c r="AH69" s="130"/>
      <c r="AI69" s="130"/>
      <c r="AJ69" s="130"/>
    </row>
    <row r="70" spans="1:257" ht="10.5" customHeight="1" x14ac:dyDescent="0.25">
      <c r="A70" s="139" t="s">
        <v>230</v>
      </c>
      <c r="B70" s="139"/>
      <c r="C70" s="139"/>
      <c r="D70" s="139"/>
      <c r="E70" s="139"/>
      <c r="F70" s="139"/>
      <c r="G70" s="139"/>
      <c r="H70" s="139"/>
      <c r="I70" s="139"/>
      <c r="J70" s="139"/>
      <c r="K70" s="139"/>
      <c r="L70" s="139"/>
      <c r="M70" s="139"/>
      <c r="N70" s="139"/>
      <c r="O70" s="139"/>
      <c r="P70" s="156"/>
      <c r="Q70" s="156"/>
      <c r="R70" s="156"/>
      <c r="S70" s="156"/>
      <c r="T70" s="156"/>
      <c r="U70" s="157"/>
      <c r="V70" s="157"/>
      <c r="W70" s="157"/>
      <c r="X70" s="157"/>
      <c r="Y70" s="157"/>
      <c r="Z70" s="157"/>
      <c r="AA70" s="157"/>
      <c r="AB70" s="147" t="s">
        <v>231</v>
      </c>
      <c r="AC70" s="147"/>
      <c r="AD70" s="147"/>
      <c r="AE70" s="147"/>
      <c r="AF70" s="147"/>
      <c r="AG70" s="147"/>
      <c r="AH70" s="147"/>
      <c r="AI70" s="147"/>
      <c r="AJ70" s="147"/>
    </row>
    <row r="71" spans="1:257" ht="11.25" customHeight="1" x14ac:dyDescent="0.25">
      <c r="A71" s="137" t="s">
        <v>232</v>
      </c>
      <c r="B71" s="137"/>
      <c r="C71" s="137"/>
      <c r="D71" s="137"/>
      <c r="E71" s="137"/>
      <c r="F71" s="137"/>
      <c r="G71" s="137"/>
      <c r="H71" s="137"/>
      <c r="I71" s="137"/>
      <c r="J71" s="137"/>
      <c r="K71" s="137"/>
      <c r="L71" s="137"/>
      <c r="M71" s="137"/>
      <c r="N71" s="137"/>
      <c r="O71" s="137"/>
      <c r="P71" s="137"/>
      <c r="Q71" s="137"/>
      <c r="R71" s="137"/>
      <c r="S71" s="137"/>
      <c r="T71" s="137"/>
      <c r="U71" s="137"/>
      <c r="V71" s="137"/>
      <c r="W71" s="137"/>
      <c r="X71" s="137"/>
      <c r="Y71" s="137"/>
      <c r="Z71" s="137"/>
      <c r="AA71" s="137"/>
      <c r="AB71" s="137"/>
      <c r="AC71" s="137"/>
      <c r="AD71" s="137"/>
      <c r="AE71" s="137"/>
      <c r="AF71" s="137"/>
      <c r="AG71" s="137"/>
      <c r="AH71" s="137"/>
      <c r="AI71" s="137"/>
      <c r="AJ71" s="137"/>
    </row>
    <row r="72" spans="1:257" ht="28.5" customHeight="1" x14ac:dyDescent="0.3">
      <c r="A72" s="130"/>
      <c r="B72" s="130"/>
      <c r="C72" s="130"/>
      <c r="D72" s="130"/>
      <c r="E72" s="130"/>
      <c r="F72" s="130"/>
      <c r="G72" s="130"/>
      <c r="H72" s="130"/>
      <c r="I72" s="130"/>
      <c r="J72" s="130"/>
      <c r="K72" s="130"/>
      <c r="L72" s="130"/>
      <c r="M72" s="130"/>
      <c r="N72" s="130"/>
      <c r="O72" s="130"/>
      <c r="P72" s="155"/>
      <c r="Q72" s="155"/>
      <c r="R72" s="155"/>
      <c r="S72" s="155"/>
      <c r="T72" s="155"/>
      <c r="U72" s="155"/>
      <c r="V72" s="155"/>
      <c r="W72" s="155"/>
      <c r="X72" s="155"/>
      <c r="Y72" s="155"/>
      <c r="Z72" s="155"/>
      <c r="AA72" s="155"/>
      <c r="AB72" s="158"/>
      <c r="AC72" s="158"/>
      <c r="AD72" s="158"/>
      <c r="AE72" s="158"/>
      <c r="AF72" s="158"/>
      <c r="AG72" s="158"/>
      <c r="AH72" s="158"/>
      <c r="AI72" s="158"/>
      <c r="AJ72" s="158"/>
    </row>
    <row r="73" spans="1:257" ht="9.75" customHeight="1" x14ac:dyDescent="0.25">
      <c r="A73" s="139" t="s">
        <v>230</v>
      </c>
      <c r="B73" s="139"/>
      <c r="C73" s="139"/>
      <c r="D73" s="139"/>
      <c r="E73" s="139"/>
      <c r="F73" s="139"/>
      <c r="G73" s="139"/>
      <c r="H73" s="139"/>
      <c r="I73" s="139"/>
      <c r="J73" s="139"/>
      <c r="K73" s="139"/>
      <c r="L73" s="139"/>
      <c r="M73" s="139"/>
      <c r="N73" s="139"/>
      <c r="O73" s="139"/>
      <c r="P73" s="156"/>
      <c r="Q73" s="156"/>
      <c r="R73" s="156"/>
      <c r="S73" s="156"/>
      <c r="T73" s="156"/>
      <c r="U73" s="157"/>
      <c r="V73" s="157"/>
      <c r="W73" s="157"/>
      <c r="X73" s="157"/>
      <c r="Y73" s="157"/>
      <c r="Z73" s="157"/>
      <c r="AA73" s="157"/>
      <c r="AB73" s="147" t="s">
        <v>231</v>
      </c>
      <c r="AC73" s="147"/>
      <c r="AD73" s="147"/>
      <c r="AE73" s="147"/>
      <c r="AF73" s="147"/>
      <c r="AG73" s="147"/>
      <c r="AH73" s="147"/>
      <c r="AI73" s="147"/>
      <c r="AJ73" s="147"/>
    </row>
    <row r="74" spans="1:257" ht="10.5" customHeight="1" x14ac:dyDescent="0.25">
      <c r="A74" s="159" t="s">
        <v>199</v>
      </c>
      <c r="B74" s="159"/>
      <c r="C74" s="159"/>
      <c r="D74" s="159"/>
      <c r="E74" s="159"/>
      <c r="F74" s="159"/>
      <c r="G74" s="159"/>
      <c r="H74" s="159"/>
      <c r="I74" s="159"/>
      <c r="J74" s="159"/>
      <c r="K74" s="159"/>
      <c r="L74" s="159"/>
      <c r="M74" s="159"/>
      <c r="N74" s="159"/>
      <c r="O74" s="159"/>
      <c r="P74" s="159"/>
      <c r="Q74" s="159"/>
      <c r="R74" s="159"/>
      <c r="S74" s="159"/>
      <c r="T74" s="159"/>
      <c r="U74" s="159"/>
      <c r="V74" s="159"/>
      <c r="W74" s="159"/>
      <c r="X74" s="159"/>
      <c r="Y74" s="159"/>
      <c r="Z74" s="159"/>
      <c r="AA74" s="159"/>
      <c r="AB74" s="159"/>
      <c r="AC74" s="159"/>
      <c r="AD74" s="159"/>
      <c r="AE74" s="159"/>
      <c r="AF74" s="159"/>
      <c r="AG74" s="159"/>
      <c r="AH74" s="159"/>
      <c r="AI74" s="159"/>
      <c r="AJ74" s="159"/>
    </row>
    <row r="75" spans="1:257" ht="24.75" customHeight="1" x14ac:dyDescent="0.3">
      <c r="A75" s="130"/>
      <c r="B75" s="130"/>
      <c r="C75" s="130"/>
      <c r="D75" s="130"/>
      <c r="E75" s="130"/>
      <c r="F75" s="130"/>
      <c r="G75" s="130"/>
      <c r="H75" s="130"/>
      <c r="I75" s="130"/>
      <c r="J75" s="130"/>
      <c r="K75" s="130"/>
      <c r="L75" s="130"/>
      <c r="M75" s="130"/>
      <c r="N75" s="130"/>
      <c r="O75" s="130"/>
      <c r="P75" s="155"/>
      <c r="Q75" s="155"/>
      <c r="R75" s="155"/>
      <c r="S75" s="155"/>
      <c r="T75" s="155"/>
      <c r="U75" s="155"/>
      <c r="V75" s="155"/>
      <c r="W75" s="155"/>
      <c r="X75" s="155"/>
      <c r="Y75" s="155"/>
      <c r="Z75" s="155"/>
      <c r="AA75" s="155"/>
      <c r="AB75" s="130"/>
      <c r="AC75" s="130"/>
      <c r="AD75" s="130"/>
      <c r="AE75" s="130"/>
      <c r="AF75" s="130"/>
      <c r="AG75" s="130"/>
      <c r="AH75" s="130"/>
      <c r="AI75" s="130"/>
      <c r="AJ75" s="130"/>
      <c r="AK75" s="159"/>
      <c r="AL75" s="159"/>
      <c r="AM75" s="159"/>
      <c r="AN75" s="159"/>
      <c r="AO75" s="159"/>
      <c r="AP75" s="159"/>
      <c r="AQ75" s="159"/>
      <c r="AR75" s="159"/>
      <c r="AS75" s="159"/>
      <c r="AT75" s="159"/>
      <c r="AU75" s="159"/>
      <c r="AV75" s="159"/>
      <c r="AW75" s="159"/>
      <c r="AX75" s="159"/>
      <c r="AY75" s="159"/>
      <c r="AZ75" s="159"/>
      <c r="BA75" s="159"/>
      <c r="BB75" s="159"/>
      <c r="BC75" s="159"/>
      <c r="BD75" s="159"/>
      <c r="BE75" s="159"/>
      <c r="BF75" s="159"/>
      <c r="BG75" s="159"/>
      <c r="BH75" s="159"/>
      <c r="BI75" s="159"/>
      <c r="BJ75" s="159"/>
      <c r="BK75" s="159"/>
      <c r="BL75" s="159"/>
      <c r="BM75" s="159"/>
      <c r="BN75" s="159"/>
      <c r="BO75" s="159"/>
      <c r="BP75" s="159"/>
      <c r="BQ75" s="159"/>
      <c r="BR75" s="159"/>
      <c r="BS75" s="159"/>
      <c r="BT75" s="159"/>
      <c r="BU75" s="159"/>
      <c r="BV75" s="159"/>
      <c r="BW75" s="159"/>
      <c r="BX75" s="159"/>
      <c r="BY75" s="159"/>
      <c r="BZ75" s="159"/>
      <c r="CA75" s="159"/>
      <c r="CB75" s="159"/>
      <c r="CC75" s="159"/>
      <c r="CD75" s="159"/>
      <c r="CE75" s="159"/>
      <c r="CF75" s="159"/>
      <c r="CG75" s="159"/>
      <c r="CH75" s="159"/>
      <c r="CI75" s="159"/>
      <c r="CJ75" s="159"/>
      <c r="CK75" s="159"/>
      <c r="CL75" s="159"/>
      <c r="CM75" s="159"/>
      <c r="CN75" s="159"/>
      <c r="CO75" s="159"/>
      <c r="CP75" s="159"/>
      <c r="CQ75" s="159"/>
      <c r="CR75" s="159"/>
      <c r="CS75" s="159"/>
      <c r="CT75" s="159"/>
      <c r="CU75" s="159"/>
      <c r="CV75" s="159"/>
      <c r="CW75" s="159"/>
      <c r="CX75" s="159"/>
      <c r="CY75" s="159"/>
      <c r="CZ75" s="159"/>
      <c r="DA75" s="159"/>
      <c r="DB75" s="159"/>
      <c r="DC75" s="159"/>
      <c r="DD75" s="159"/>
      <c r="DE75" s="159"/>
      <c r="DF75" s="159"/>
      <c r="DG75" s="159"/>
      <c r="DH75" s="159"/>
      <c r="DI75" s="159"/>
      <c r="DJ75" s="159"/>
      <c r="DK75" s="159"/>
      <c r="DL75" s="159"/>
      <c r="DM75" s="159"/>
      <c r="DN75" s="159"/>
      <c r="DO75" s="159"/>
      <c r="DP75" s="159"/>
      <c r="DQ75" s="159"/>
      <c r="DR75" s="159"/>
      <c r="DS75" s="159"/>
      <c r="DT75" s="159"/>
      <c r="DU75" s="159"/>
      <c r="DV75" s="159"/>
      <c r="DW75" s="159"/>
      <c r="DX75" s="159"/>
      <c r="DY75" s="159"/>
      <c r="DZ75" s="159"/>
      <c r="EA75" s="159"/>
      <c r="EB75" s="159"/>
      <c r="EC75" s="159"/>
      <c r="ED75" s="159"/>
      <c r="EE75" s="159"/>
      <c r="EF75" s="159"/>
      <c r="EG75" s="159"/>
      <c r="EH75" s="159"/>
      <c r="EI75" s="159"/>
      <c r="EJ75" s="159"/>
      <c r="EK75" s="159"/>
      <c r="EL75" s="159"/>
      <c r="EM75" s="159"/>
      <c r="EN75" s="159"/>
      <c r="EO75" s="159"/>
      <c r="EP75" s="159"/>
      <c r="EQ75" s="159"/>
      <c r="ER75" s="159"/>
      <c r="ES75" s="159"/>
      <c r="ET75" s="159"/>
      <c r="EU75" s="159"/>
      <c r="EV75" s="159"/>
      <c r="EW75" s="159"/>
      <c r="EX75" s="159"/>
      <c r="EY75" s="159"/>
      <c r="EZ75" s="159"/>
      <c r="FA75" s="159"/>
      <c r="FB75" s="159"/>
      <c r="FC75" s="159"/>
      <c r="FD75" s="159"/>
      <c r="FE75" s="159"/>
      <c r="FF75" s="159"/>
      <c r="FG75" s="159"/>
      <c r="FH75" s="159"/>
      <c r="FI75" s="159"/>
      <c r="FJ75" s="159"/>
      <c r="FK75" s="159"/>
      <c r="FL75" s="159"/>
      <c r="FM75" s="159"/>
      <c r="FN75" s="159"/>
      <c r="FO75" s="159"/>
      <c r="FP75" s="159"/>
      <c r="FQ75" s="159"/>
      <c r="FR75" s="159"/>
      <c r="FS75" s="159"/>
      <c r="FT75" s="159"/>
      <c r="FU75" s="159"/>
      <c r="FV75" s="159"/>
      <c r="FW75" s="159"/>
      <c r="FX75" s="159"/>
      <c r="FY75" s="159"/>
      <c r="FZ75" s="159"/>
      <c r="GA75" s="159"/>
      <c r="GB75" s="159"/>
      <c r="GC75" s="159"/>
      <c r="GD75" s="159"/>
      <c r="GE75" s="159"/>
      <c r="GF75" s="159"/>
      <c r="GG75" s="159"/>
      <c r="GH75" s="159"/>
      <c r="GI75" s="159"/>
      <c r="GJ75" s="159"/>
      <c r="GK75" s="159"/>
      <c r="GL75" s="159"/>
      <c r="GM75" s="159"/>
      <c r="GN75" s="159"/>
      <c r="GO75" s="159"/>
      <c r="GP75" s="159"/>
      <c r="GQ75" s="159"/>
      <c r="GR75" s="159"/>
      <c r="GS75" s="159"/>
      <c r="GT75" s="159"/>
      <c r="GU75" s="159"/>
      <c r="GV75" s="159"/>
      <c r="GW75" s="159"/>
      <c r="GX75" s="159"/>
      <c r="GY75" s="159"/>
      <c r="GZ75" s="159"/>
      <c r="HA75" s="159"/>
      <c r="HB75" s="159"/>
      <c r="HC75" s="159"/>
      <c r="HD75" s="159"/>
      <c r="HE75" s="159"/>
      <c r="HF75" s="159"/>
      <c r="HG75" s="159"/>
      <c r="HH75" s="159"/>
      <c r="HI75" s="159"/>
      <c r="HJ75" s="159"/>
      <c r="HK75" s="159"/>
      <c r="HL75" s="159"/>
      <c r="HM75" s="159"/>
      <c r="HN75" s="159"/>
      <c r="HO75" s="159"/>
      <c r="HP75" s="159"/>
      <c r="HQ75" s="159"/>
      <c r="HR75" s="159"/>
      <c r="HS75" s="159"/>
      <c r="HT75" s="159"/>
      <c r="HU75" s="159"/>
      <c r="HV75" s="159"/>
      <c r="HW75" s="159"/>
      <c r="HX75" s="159"/>
      <c r="HY75" s="159"/>
      <c r="HZ75" s="159"/>
      <c r="IA75" s="159"/>
      <c r="IB75" s="159"/>
      <c r="IC75" s="159"/>
      <c r="ID75" s="159"/>
      <c r="IE75" s="159"/>
      <c r="IF75" s="159"/>
      <c r="IG75" s="159"/>
      <c r="IH75" s="159"/>
      <c r="II75" s="159"/>
      <c r="IJ75" s="159"/>
      <c r="IK75" s="159"/>
      <c r="IL75" s="159"/>
      <c r="IM75" s="159"/>
      <c r="IN75" s="159"/>
      <c r="IO75" s="159"/>
      <c r="IP75" s="159"/>
      <c r="IQ75" s="159"/>
      <c r="IR75" s="159"/>
      <c r="IS75" s="159"/>
      <c r="IT75" s="159"/>
      <c r="IU75" s="159"/>
      <c r="IV75" s="159"/>
      <c r="IW75" s="159"/>
    </row>
    <row r="76" spans="1:257" ht="9" customHeight="1" x14ac:dyDescent="0.25">
      <c r="A76" s="139" t="s">
        <v>230</v>
      </c>
      <c r="B76" s="139"/>
      <c r="C76" s="139"/>
      <c r="D76" s="139"/>
      <c r="E76" s="139"/>
      <c r="F76" s="139"/>
      <c r="G76" s="139"/>
      <c r="H76" s="139"/>
      <c r="I76" s="139"/>
      <c r="J76" s="139"/>
      <c r="K76" s="139"/>
      <c r="L76" s="139"/>
      <c r="M76" s="139"/>
      <c r="N76" s="139"/>
      <c r="O76" s="139"/>
      <c r="P76" s="156"/>
      <c r="Q76" s="156"/>
      <c r="R76" s="156"/>
      <c r="S76" s="156"/>
      <c r="T76" s="156"/>
      <c r="U76" s="157"/>
      <c r="V76" s="157"/>
      <c r="W76" s="157"/>
      <c r="X76" s="157"/>
      <c r="Y76" s="157"/>
      <c r="Z76" s="157"/>
      <c r="AA76" s="157"/>
      <c r="AB76" s="147" t="s">
        <v>231</v>
      </c>
      <c r="AC76" s="147"/>
      <c r="AD76" s="147"/>
      <c r="AE76" s="147"/>
      <c r="AF76" s="147"/>
      <c r="AG76" s="147"/>
      <c r="AH76" s="147"/>
      <c r="AI76" s="147"/>
      <c r="AJ76" s="147"/>
    </row>
    <row r="77" spans="1:257" ht="12.75" customHeight="1" x14ac:dyDescent="0.25">
      <c r="A77" s="159" t="s">
        <v>233</v>
      </c>
    </row>
    <row r="78" spans="1:257" ht="10.5" customHeight="1" x14ac:dyDescent="0.25">
      <c r="A78" s="159" t="s">
        <v>234</v>
      </c>
    </row>
    <row r="79" spans="1:257" ht="21.75" customHeight="1" x14ac:dyDescent="0.3">
      <c r="A79" s="130"/>
      <c r="B79" s="130"/>
      <c r="C79" s="130"/>
      <c r="D79" s="130"/>
      <c r="E79" s="130"/>
      <c r="F79" s="130"/>
      <c r="G79" s="130"/>
      <c r="H79" s="130"/>
      <c r="I79" s="130"/>
      <c r="J79" s="130"/>
      <c r="K79" s="130"/>
      <c r="L79" s="130"/>
      <c r="M79" s="130"/>
      <c r="N79" s="130"/>
      <c r="O79" s="130"/>
      <c r="P79" s="155"/>
      <c r="Q79" s="155"/>
      <c r="R79" s="155"/>
      <c r="S79" s="155"/>
      <c r="T79" s="155"/>
      <c r="U79" s="155"/>
      <c r="V79" s="155"/>
      <c r="W79" s="155"/>
      <c r="X79" s="155"/>
      <c r="Y79" s="155"/>
      <c r="Z79" s="155"/>
      <c r="AA79" s="155"/>
      <c r="AB79" s="130"/>
      <c r="AC79" s="130"/>
      <c r="AD79" s="130"/>
      <c r="AE79" s="130"/>
      <c r="AF79" s="130"/>
      <c r="AG79" s="130"/>
      <c r="AH79" s="130"/>
      <c r="AI79" s="130"/>
      <c r="AJ79" s="130"/>
    </row>
    <row r="80" spans="1:257" ht="8.25" customHeight="1" x14ac:dyDescent="0.25">
      <c r="A80" s="139" t="s">
        <v>230</v>
      </c>
      <c r="B80" s="139"/>
      <c r="C80" s="139"/>
      <c r="D80" s="139"/>
      <c r="E80" s="139"/>
      <c r="F80" s="139"/>
      <c r="G80" s="139"/>
      <c r="H80" s="139"/>
      <c r="I80" s="139"/>
      <c r="J80" s="139"/>
      <c r="K80" s="139"/>
      <c r="L80" s="139"/>
      <c r="M80" s="139"/>
      <c r="N80" s="139"/>
      <c r="O80" s="139"/>
      <c r="P80" s="156"/>
      <c r="Q80" s="156"/>
      <c r="R80" s="156"/>
      <c r="S80" s="156"/>
      <c r="T80" s="156"/>
      <c r="U80" s="157"/>
      <c r="V80" s="157"/>
      <c r="W80" s="157"/>
      <c r="X80" s="157"/>
      <c r="Y80" s="157"/>
      <c r="Z80" s="157"/>
      <c r="AA80" s="157"/>
      <c r="AB80" s="147" t="s">
        <v>231</v>
      </c>
      <c r="AC80" s="147"/>
      <c r="AD80" s="147"/>
      <c r="AE80" s="147"/>
      <c r="AF80" s="147"/>
      <c r="AG80" s="147"/>
      <c r="AH80" s="147"/>
      <c r="AI80" s="147"/>
      <c r="AJ80" s="147"/>
    </row>
    <row r="81" spans="1:36" ht="37.5" customHeight="1" x14ac:dyDescent="0.25">
      <c r="A81" s="160" t="s">
        <v>203</v>
      </c>
      <c r="B81" s="160"/>
      <c r="C81" s="160"/>
      <c r="D81" s="160"/>
      <c r="E81" s="160"/>
      <c r="F81" s="160"/>
      <c r="G81" s="160"/>
      <c r="H81" s="160"/>
      <c r="I81" s="160"/>
      <c r="J81" s="160"/>
      <c r="K81" s="160"/>
      <c r="L81" s="160"/>
      <c r="M81" s="160"/>
      <c r="N81" s="160"/>
      <c r="O81" s="160"/>
      <c r="P81" s="160"/>
      <c r="Q81" s="160"/>
      <c r="R81" s="160"/>
      <c r="S81" s="160"/>
      <c r="T81" s="160"/>
      <c r="U81" s="160"/>
      <c r="V81" s="160"/>
      <c r="W81" s="160"/>
      <c r="X81" s="160"/>
      <c r="Y81" s="160"/>
      <c r="Z81" s="160"/>
      <c r="AA81" s="160"/>
      <c r="AB81" s="160"/>
      <c r="AC81" s="160"/>
      <c r="AD81" s="160"/>
      <c r="AE81" s="160"/>
      <c r="AF81" s="160"/>
      <c r="AG81" s="160"/>
      <c r="AH81" s="160"/>
      <c r="AI81" s="160"/>
      <c r="AJ81" s="160"/>
    </row>
    <row r="82" spans="1:36" ht="15" customHeight="1" x14ac:dyDescent="0.3">
      <c r="A82" s="130"/>
      <c r="B82" s="130"/>
      <c r="C82" s="130"/>
      <c r="D82" s="130"/>
      <c r="E82" s="130"/>
      <c r="F82" s="130"/>
      <c r="G82" s="130"/>
      <c r="H82" s="130"/>
      <c r="I82" s="130"/>
      <c r="J82" s="130"/>
      <c r="K82" s="130"/>
      <c r="L82" s="130"/>
      <c r="M82" s="130"/>
      <c r="N82" s="130"/>
      <c r="O82" s="130"/>
      <c r="P82" s="155"/>
      <c r="Q82" s="155"/>
      <c r="R82" s="155"/>
      <c r="S82" s="155"/>
      <c r="T82" s="155"/>
      <c r="U82" s="155"/>
      <c r="V82" s="155"/>
      <c r="W82" s="155"/>
      <c r="X82" s="155"/>
      <c r="Y82" s="155"/>
      <c r="Z82" s="155"/>
      <c r="AA82" s="155"/>
      <c r="AB82" s="130"/>
      <c r="AC82" s="130"/>
      <c r="AD82" s="130"/>
      <c r="AE82" s="130"/>
      <c r="AF82" s="130"/>
      <c r="AG82" s="130"/>
      <c r="AH82" s="130"/>
      <c r="AI82" s="130"/>
      <c r="AJ82" s="130"/>
    </row>
    <row r="83" spans="1:36" ht="8.25" customHeight="1" x14ac:dyDescent="0.25">
      <c r="A83" s="139" t="s">
        <v>230</v>
      </c>
      <c r="B83" s="139"/>
      <c r="C83" s="139"/>
      <c r="D83" s="139"/>
      <c r="E83" s="139"/>
      <c r="F83" s="139"/>
      <c r="G83" s="139"/>
      <c r="H83" s="139"/>
      <c r="I83" s="139"/>
      <c r="J83" s="139"/>
      <c r="K83" s="139"/>
      <c r="L83" s="139"/>
      <c r="M83" s="139"/>
      <c r="N83" s="139"/>
      <c r="O83" s="139"/>
      <c r="P83" s="156"/>
      <c r="Q83" s="156"/>
      <c r="R83" s="156"/>
      <c r="S83" s="156"/>
      <c r="T83" s="156"/>
      <c r="U83" s="157"/>
      <c r="V83" s="157"/>
      <c r="W83" s="157"/>
      <c r="X83" s="157"/>
      <c r="Y83" s="157"/>
      <c r="Z83" s="157"/>
      <c r="AA83" s="157"/>
      <c r="AB83" s="147" t="s">
        <v>231</v>
      </c>
      <c r="AC83" s="147"/>
      <c r="AD83" s="147"/>
      <c r="AE83" s="147"/>
      <c r="AF83" s="147"/>
      <c r="AG83" s="147"/>
      <c r="AH83" s="147"/>
      <c r="AI83" s="147"/>
      <c r="AJ83" s="147"/>
    </row>
    <row r="84" spans="1:36" ht="34.5" customHeight="1" x14ac:dyDescent="0.25">
      <c r="A84" s="160" t="s">
        <v>237</v>
      </c>
      <c r="B84" s="160"/>
      <c r="C84" s="160"/>
      <c r="D84" s="160"/>
      <c r="E84" s="160"/>
      <c r="F84" s="160"/>
      <c r="G84" s="160"/>
      <c r="H84" s="160"/>
      <c r="I84" s="160"/>
      <c r="J84" s="160"/>
      <c r="K84" s="160"/>
      <c r="L84" s="160"/>
      <c r="M84" s="160"/>
      <c r="N84" s="160"/>
      <c r="O84" s="160"/>
      <c r="P84" s="160"/>
      <c r="Q84" s="160"/>
      <c r="R84" s="160"/>
      <c r="S84" s="160"/>
      <c r="T84" s="160"/>
      <c r="U84" s="160"/>
      <c r="V84" s="160"/>
      <c r="W84" s="160"/>
      <c r="X84" s="160"/>
      <c r="Y84" s="160"/>
      <c r="Z84" s="160"/>
      <c r="AA84" s="160"/>
      <c r="AB84" s="160"/>
      <c r="AC84" s="160"/>
      <c r="AD84" s="160"/>
      <c r="AE84" s="160"/>
      <c r="AF84" s="160"/>
      <c r="AG84" s="160"/>
      <c r="AH84" s="160"/>
      <c r="AI84" s="160"/>
      <c r="AJ84" s="160"/>
    </row>
    <row r="85" spans="1:36" ht="28.5" customHeight="1" x14ac:dyDescent="0.3">
      <c r="A85" s="130"/>
      <c r="B85" s="130"/>
      <c r="C85" s="130"/>
      <c r="D85" s="130"/>
      <c r="E85" s="130"/>
      <c r="F85" s="130"/>
      <c r="G85" s="130"/>
      <c r="H85" s="130"/>
      <c r="I85" s="130"/>
      <c r="J85" s="130"/>
      <c r="K85" s="130"/>
      <c r="L85" s="130"/>
      <c r="M85" s="130"/>
      <c r="N85" s="130"/>
      <c r="O85" s="130"/>
      <c r="P85" s="155"/>
      <c r="Q85" s="155"/>
      <c r="R85" s="155"/>
      <c r="S85" s="155"/>
      <c r="T85" s="155"/>
      <c r="U85" s="155"/>
      <c r="V85" s="155"/>
      <c r="W85" s="155"/>
      <c r="X85" s="155"/>
      <c r="Y85" s="155"/>
      <c r="Z85" s="155"/>
      <c r="AA85" s="155"/>
      <c r="AB85" s="130"/>
      <c r="AC85" s="130"/>
      <c r="AD85" s="130"/>
      <c r="AE85" s="130"/>
      <c r="AF85" s="130"/>
      <c r="AG85" s="130"/>
      <c r="AH85" s="130"/>
      <c r="AI85" s="130"/>
      <c r="AJ85" s="130"/>
    </row>
    <row r="86" spans="1:36" ht="12" customHeight="1" x14ac:dyDescent="0.25">
      <c r="A86" s="139" t="s">
        <v>230</v>
      </c>
      <c r="B86" s="139"/>
      <c r="C86" s="139"/>
      <c r="D86" s="139"/>
      <c r="E86" s="139"/>
      <c r="F86" s="139"/>
      <c r="G86" s="139"/>
      <c r="H86" s="139"/>
      <c r="I86" s="139"/>
      <c r="J86" s="139"/>
      <c r="K86" s="139"/>
      <c r="L86" s="139"/>
      <c r="M86" s="139"/>
      <c r="N86" s="139"/>
      <c r="O86" s="139"/>
      <c r="P86" s="156"/>
      <c r="Q86" s="156"/>
      <c r="R86" s="156"/>
      <c r="S86" s="156"/>
      <c r="T86" s="156"/>
      <c r="U86" s="157"/>
      <c r="V86" s="157"/>
      <c r="W86" s="157"/>
      <c r="X86" s="157"/>
      <c r="Y86" s="157"/>
      <c r="Z86" s="157"/>
      <c r="AA86" s="157"/>
      <c r="AB86" s="147" t="s">
        <v>231</v>
      </c>
      <c r="AC86" s="147"/>
      <c r="AD86" s="147"/>
      <c r="AE86" s="147"/>
      <c r="AF86" s="147"/>
      <c r="AG86" s="147"/>
      <c r="AH86" s="147"/>
      <c r="AI86" s="147"/>
      <c r="AJ86" s="147"/>
    </row>
    <row r="87" spans="1:36" ht="9" customHeight="1" x14ac:dyDescent="0.25"/>
    <row r="88" spans="1:36" ht="12" customHeight="1" x14ac:dyDescent="0.25"/>
  </sheetData>
  <mergeCells count="82">
    <mergeCell ref="A84:AJ84"/>
    <mergeCell ref="A85:O85"/>
    <mergeCell ref="AB85:AJ85"/>
    <mergeCell ref="A86:O86"/>
    <mergeCell ref="AB86:AJ86"/>
    <mergeCell ref="A80:O80"/>
    <mergeCell ref="AB80:AJ80"/>
    <mergeCell ref="A81:AJ81"/>
    <mergeCell ref="A82:O82"/>
    <mergeCell ref="AB82:AJ82"/>
    <mergeCell ref="A83:O83"/>
    <mergeCell ref="AB83:AJ83"/>
    <mergeCell ref="A75:O75"/>
    <mergeCell ref="AB75:AJ75"/>
    <mergeCell ref="A76:O76"/>
    <mergeCell ref="AB76:AJ76"/>
    <mergeCell ref="A79:O79"/>
    <mergeCell ref="AB79:AJ79"/>
    <mergeCell ref="A70:O70"/>
    <mergeCell ref="AB70:AJ70"/>
    <mergeCell ref="A71:AJ71"/>
    <mergeCell ref="A72:O72"/>
    <mergeCell ref="A73:O73"/>
    <mergeCell ref="AB73:AJ73"/>
    <mergeCell ref="L61:AJ61"/>
    <mergeCell ref="H62:I62"/>
    <mergeCell ref="A64:AJ64"/>
    <mergeCell ref="A65:AJ65"/>
    <mergeCell ref="A66:AJ66"/>
    <mergeCell ref="A69:O69"/>
    <mergeCell ref="AB69:AJ69"/>
    <mergeCell ref="M55:N55"/>
    <mergeCell ref="P55:S55"/>
    <mergeCell ref="U55:W55"/>
    <mergeCell ref="O57:AJ57"/>
    <mergeCell ref="A59:AJ59"/>
    <mergeCell ref="A60:AJ60"/>
    <mergeCell ref="A50:AJ50"/>
    <mergeCell ref="G52:AJ52"/>
    <mergeCell ref="A53:AJ53"/>
    <mergeCell ref="M54:N54"/>
    <mergeCell ref="P54:S54"/>
    <mergeCell ref="U54:W54"/>
    <mergeCell ref="A43:AJ43"/>
    <mergeCell ref="A44:AJ44"/>
    <mergeCell ref="A46:AJ46"/>
    <mergeCell ref="A47:AJ47"/>
    <mergeCell ref="P48:AJ48"/>
    <mergeCell ref="A49:AJ49"/>
    <mergeCell ref="A34:AJ34"/>
    <mergeCell ref="A35:AJ35"/>
    <mergeCell ref="A36:AJ36"/>
    <mergeCell ref="A37:AJ37"/>
    <mergeCell ref="A39:AJ39"/>
    <mergeCell ref="A40:AJ40"/>
    <mergeCell ref="A28:AJ28"/>
    <mergeCell ref="A29:AJ29"/>
    <mergeCell ref="A30:AJ30"/>
    <mergeCell ref="A31:AJ31"/>
    <mergeCell ref="A32:AJ32"/>
    <mergeCell ref="A33:AJ33"/>
    <mergeCell ref="A21:AJ21"/>
    <mergeCell ref="A22:AJ22"/>
    <mergeCell ref="A23:AJ23"/>
    <mergeCell ref="A24:AJ24"/>
    <mergeCell ref="A25:AJ25"/>
    <mergeCell ref="A27:AJ27"/>
    <mergeCell ref="A11:AJ11"/>
    <mergeCell ref="A13:AJ13"/>
    <mergeCell ref="A14:AJ14"/>
    <mergeCell ref="A15:AJ15"/>
    <mergeCell ref="A16:AJ16"/>
    <mergeCell ref="C18:K18"/>
    <mergeCell ref="Y18:Z18"/>
    <mergeCell ref="AB18:AE18"/>
    <mergeCell ref="AG18:AI18"/>
    <mergeCell ref="A4:AJ4"/>
    <mergeCell ref="A5:AJ5"/>
    <mergeCell ref="A6:AJ6"/>
    <mergeCell ref="A7:AJ7"/>
    <mergeCell ref="A8:AJ8"/>
    <mergeCell ref="A10:AJ10"/>
  </mergeCells>
  <pageMargins left="0.78749999999999998" right="0.27569444444444402" top="0.39374999999999999" bottom="0.39374999999999999" header="0.511811023622047" footer="0.511811023622047"/>
  <pageSetup paperSize="9" scale="93" orientation="portrait" horizontalDpi="300" verticalDpi="300"/>
  <rowBreaks count="1" manualBreakCount="1">
    <brk id="3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15</vt:i4>
      </vt:variant>
      <vt:variant>
        <vt:lpstr>Именованные диапазоны</vt:lpstr>
      </vt:variant>
      <vt:variant>
        <vt:i4>2</vt:i4>
      </vt:variant>
    </vt:vector>
  </HeadingPairs>
  <TitlesOfParts>
    <vt:vector size="17" baseType="lpstr">
      <vt:lpstr>01 Overview</vt:lpstr>
      <vt:lpstr>02 Acts - Data</vt:lpstr>
      <vt:lpstr>03 Acts - Breakdown</vt:lpstr>
      <vt:lpstr>04 Acts - Sealing</vt:lpstr>
      <vt:lpstr>05 Acts - AOSR</vt:lpstr>
      <vt:lpstr>06 Acts - Supervision</vt:lpstr>
      <vt:lpstr>07 Acts - Acceptance</vt:lpstr>
      <vt:lpstr>08 Acts - PP</vt:lpstr>
      <vt:lpstr>09 Acts - Inspection</vt:lpstr>
      <vt:lpstr>10 Acts - Alignment</vt:lpstr>
      <vt:lpstr>11 Acts - Pipe Welding</vt:lpstr>
      <vt:lpstr>12 Acts - Inventory</vt:lpstr>
      <vt:lpstr>13 AOSR - Data</vt:lpstr>
      <vt:lpstr>14 AOSR - Page 1</vt:lpstr>
      <vt:lpstr>15 AOSR - Page 2</vt:lpstr>
      <vt:lpstr>'14 AOSR - Page 1'!Область_печати</vt:lpstr>
      <vt:lpstr>'15 AOSR - Page 2'!Область_печати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Алексей Кубкуб</cp:lastModifiedBy>
  <cp:revision>0</cp:revision>
  <dcterms:created xsi:type="dcterms:W3CDTF">2026-03-05T14:36:23Z</dcterms:created>
  <dcterms:modified xsi:type="dcterms:W3CDTF">2026-03-18T06:27:35Z</dcterms:modified>
  <dc:language>en-US</dc:language>
</cp:coreProperties>
</file>